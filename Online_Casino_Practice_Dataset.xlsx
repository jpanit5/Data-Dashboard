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dmin/Desktop/dashboard/"/>
    </mc:Choice>
  </mc:AlternateContent>
  <xr:revisionPtr revIDLastSave="0" documentId="13_ncr:1_{5D3F90FF-D27D-FF4E-A226-F6D3978DE638}" xr6:coauthVersionLast="47" xr6:coauthVersionMax="47" xr10:uidLastSave="{00000000-0000-0000-0000-000000000000}"/>
  <bookViews>
    <workbookView xWindow="0" yWindow="680" windowWidth="29400" windowHeight="16800" xr2:uid="{00000000-000D-0000-FFFF-FFFF00000000}"/>
  </bookViews>
  <sheets>
    <sheet name="Transactions" sheetId="1" r:id="rId1"/>
    <sheet name="Sheet3" sheetId="4" r:id="rId2"/>
    <sheet name="Sheet4" sheetId="5" r:id="rId3"/>
  </sheets>
  <definedNames>
    <definedName name="_xlnm._FilterDatabase" localSheetId="0" hidden="1">Transactions!$A$1:$N$501</definedName>
    <definedName name="Slicer_Country">#N/A</definedName>
    <definedName name="Slicer_Game_Type">#N/A</definedName>
    <definedName name="Slicer_VIP_Level">#N/A</definedName>
  </definedNames>
  <calcPr calcId="191029"/>
  <pivotCaches>
    <pivotCache cacheId="17" r:id="rId4"/>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 l="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2" i="1"/>
  <c r="N2" i="1" s="1"/>
</calcChain>
</file>

<file path=xl/sharedStrings.xml><?xml version="1.0" encoding="utf-8"?>
<sst xmlns="http://schemas.openxmlformats.org/spreadsheetml/2006/main" count="1536" uniqueCount="132">
  <si>
    <t>Player_ID</t>
  </si>
  <si>
    <t>Registration_Date</t>
  </si>
  <si>
    <t>Country</t>
  </si>
  <si>
    <t>VIP_Level</t>
  </si>
  <si>
    <t>Transaction_Date</t>
  </si>
  <si>
    <t>Game_Type</t>
  </si>
  <si>
    <t>Deposit_Amount</t>
  </si>
  <si>
    <t>Bonus_Amount</t>
  </si>
  <si>
    <t>Bet_Amount</t>
  </si>
  <si>
    <t>Win_Amount</t>
  </si>
  <si>
    <t>Payment_Fee</t>
  </si>
  <si>
    <t>Last_Login_Date</t>
  </si>
  <si>
    <t>P1000</t>
  </si>
  <si>
    <t>Sweden</t>
  </si>
  <si>
    <t>Roulette</t>
  </si>
  <si>
    <t>P1040</t>
  </si>
  <si>
    <t>Spain</t>
  </si>
  <si>
    <t>Live Casino</t>
  </si>
  <si>
    <t>P1064</t>
  </si>
  <si>
    <t>UK</t>
  </si>
  <si>
    <t>Slots</t>
  </si>
  <si>
    <t>P1087</t>
  </si>
  <si>
    <t>Canada</t>
  </si>
  <si>
    <t>P1089</t>
  </si>
  <si>
    <t>P1006</t>
  </si>
  <si>
    <t>P1096</t>
  </si>
  <si>
    <t>Germany</t>
  </si>
  <si>
    <t>P1026</t>
  </si>
  <si>
    <t>Blackjack</t>
  </si>
  <si>
    <t>P1098</t>
  </si>
  <si>
    <t>P1093</t>
  </si>
  <si>
    <t>P1039</t>
  </si>
  <si>
    <t>P1061</t>
  </si>
  <si>
    <t>P1025</t>
  </si>
  <si>
    <t>P1029</t>
  </si>
  <si>
    <t>P1008</t>
  </si>
  <si>
    <t>P1021</t>
  </si>
  <si>
    <t>P1060</t>
  </si>
  <si>
    <t>P1045</t>
  </si>
  <si>
    <t>P1010</t>
  </si>
  <si>
    <t>P1031</t>
  </si>
  <si>
    <t>P1003</t>
  </si>
  <si>
    <t>P1055</t>
  </si>
  <si>
    <t>P1051</t>
  </si>
  <si>
    <t>P1086</t>
  </si>
  <si>
    <t>P1037</t>
  </si>
  <si>
    <t>P1058</t>
  </si>
  <si>
    <t>P1059</t>
  </si>
  <si>
    <t>P1053</t>
  </si>
  <si>
    <t>P1020</t>
  </si>
  <si>
    <t>P1032</t>
  </si>
  <si>
    <t>P1057</t>
  </si>
  <si>
    <t>P1067</t>
  </si>
  <si>
    <t>P1090</t>
  </si>
  <si>
    <t>P1081</t>
  </si>
  <si>
    <t>P1023</t>
  </si>
  <si>
    <t>P1024</t>
  </si>
  <si>
    <t>P1048</t>
  </si>
  <si>
    <t>P1038</t>
  </si>
  <si>
    <t>P1079</t>
  </si>
  <si>
    <t>P1019</t>
  </si>
  <si>
    <t>P1095</t>
  </si>
  <si>
    <t>P1033</t>
  </si>
  <si>
    <t>P1013</t>
  </si>
  <si>
    <t>P1012</t>
  </si>
  <si>
    <t>P1035</t>
  </si>
  <si>
    <t>P1047</t>
  </si>
  <si>
    <t>P1066</t>
  </si>
  <si>
    <t>P1082</t>
  </si>
  <si>
    <t>P1042</t>
  </si>
  <si>
    <t>P1092</t>
  </si>
  <si>
    <t>P1076</t>
  </si>
  <si>
    <t>P1068</t>
  </si>
  <si>
    <t>P1065</t>
  </si>
  <si>
    <t>P1018</t>
  </si>
  <si>
    <t>P1036</t>
  </si>
  <si>
    <t>P1099</t>
  </si>
  <si>
    <t>P1028</t>
  </si>
  <si>
    <t>P1094</t>
  </si>
  <si>
    <t>P1074</t>
  </si>
  <si>
    <t>P1071</t>
  </si>
  <si>
    <t>P1034</t>
  </si>
  <si>
    <t>P1100</t>
  </si>
  <si>
    <t>P1041</t>
  </si>
  <si>
    <t>P1004</t>
  </si>
  <si>
    <t>P1007</t>
  </si>
  <si>
    <t>P1063</t>
  </si>
  <si>
    <t>P1073</t>
  </si>
  <si>
    <t>P1044</t>
  </si>
  <si>
    <t>P1043</t>
  </si>
  <si>
    <t>P1091</t>
  </si>
  <si>
    <t>P1049</t>
  </si>
  <si>
    <t>P1077</t>
  </si>
  <si>
    <t>P1054</t>
  </si>
  <si>
    <t>P1052</t>
  </si>
  <si>
    <t>P1085</t>
  </si>
  <si>
    <t>P1083</t>
  </si>
  <si>
    <t>P1005</t>
  </si>
  <si>
    <t>P1046</t>
  </si>
  <si>
    <t>P1072</t>
  </si>
  <si>
    <t>P1080</t>
  </si>
  <si>
    <t>P1015</t>
  </si>
  <si>
    <t>P1001</t>
  </si>
  <si>
    <t>P1069</t>
  </si>
  <si>
    <t>P1075</t>
  </si>
  <si>
    <t>P1016</t>
  </si>
  <si>
    <t>P1027</t>
  </si>
  <si>
    <t>P1030</t>
  </si>
  <si>
    <t>P1014</t>
  </si>
  <si>
    <t>P1088</t>
  </si>
  <si>
    <t>P1009</t>
  </si>
  <si>
    <t>P1017</t>
  </si>
  <si>
    <t>P1062</t>
  </si>
  <si>
    <t>P1002</t>
  </si>
  <si>
    <t>P1097</t>
  </si>
  <si>
    <t>P1011</t>
  </si>
  <si>
    <t>P1070</t>
  </si>
  <si>
    <t>P1050</t>
  </si>
  <si>
    <t>P1084</t>
  </si>
  <si>
    <t>P1056</t>
  </si>
  <si>
    <t>P1078</t>
  </si>
  <si>
    <t>P1022</t>
  </si>
  <si>
    <t>GRR</t>
  </si>
  <si>
    <t>Row Labels</t>
  </si>
  <si>
    <t>Grand Total</t>
  </si>
  <si>
    <t>Sum of GRR</t>
  </si>
  <si>
    <t>NGR</t>
  </si>
  <si>
    <t>Column Labels</t>
  </si>
  <si>
    <t>Football</t>
  </si>
  <si>
    <t>Tennis</t>
  </si>
  <si>
    <t>Basketball</t>
  </si>
  <si>
    <t>Volleyball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</si>
</sst>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pivotButton="1"/>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[Online_Casino_Practice_Dataset.xlsx]Sheet4!PivotTable3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Sheet4!$B$3:$B$4</c:f>
              <c:strCache>
                <c:ptCount val="1"/>
                <c:pt idx="0">
                  <c:v>Blackjack</c:v>
                </c:pt>
              </c:strCache>
            </c:strRef>
          </c:tx>
          <c:spPr>
            <a:solidFill>
              <a:schemeClr val="accent1"/>
            </a:solidFill>
            <a:ln>
              <a:noFill/>
            </a:ln>
            <a:effectLst/>
          </c:spPr>
          <c:invertIfNegative val="0"/>
          <c:cat>
            <c:strRef>
              <c:f>Sheet4!$A$5:$A$10</c:f>
              <c:strCache>
                <c:ptCount val="5"/>
                <c:pt idx="0">
                  <c:v>Canada</c:v>
                </c:pt>
                <c:pt idx="1">
                  <c:v>Germany</c:v>
                </c:pt>
                <c:pt idx="2">
                  <c:v>Spain</c:v>
                </c:pt>
                <c:pt idx="3">
                  <c:v>Sweden</c:v>
                </c:pt>
                <c:pt idx="4">
                  <c:v>UK</c:v>
                </c:pt>
              </c:strCache>
            </c:strRef>
          </c:cat>
          <c:val>
            <c:numRef>
              <c:f>Sheet4!$B$5:$B$10</c:f>
              <c:numCache>
                <c:formatCode>General</c:formatCode>
                <c:ptCount val="5"/>
                <c:pt idx="0">
                  <c:v>5247</c:v>
                </c:pt>
                <c:pt idx="1">
                  <c:v>10363</c:v>
                </c:pt>
                <c:pt idx="2">
                  <c:v>6291</c:v>
                </c:pt>
                <c:pt idx="3">
                  <c:v>7600</c:v>
                </c:pt>
                <c:pt idx="4">
                  <c:v>4217</c:v>
                </c:pt>
              </c:numCache>
            </c:numRef>
          </c:val>
          <c:extLst>
            <c:ext xmlns:c16="http://schemas.microsoft.com/office/drawing/2014/chart" uri="{C3380CC4-5D6E-409C-BE32-E72D297353CC}">
              <c16:uniqueId val="{000000F5-1222-9240-B9FE-C378AE92D1D5}"/>
            </c:ext>
          </c:extLst>
        </c:ser>
        <c:ser>
          <c:idx val="1"/>
          <c:order val="1"/>
          <c:tx>
            <c:strRef>
              <c:f>Sheet4!$C$3:$C$4</c:f>
              <c:strCache>
                <c:ptCount val="1"/>
                <c:pt idx="0">
                  <c:v>Live Casino</c:v>
                </c:pt>
              </c:strCache>
            </c:strRef>
          </c:tx>
          <c:spPr>
            <a:solidFill>
              <a:schemeClr val="accent2"/>
            </a:solidFill>
            <a:ln>
              <a:noFill/>
            </a:ln>
            <a:effectLst/>
          </c:spPr>
          <c:invertIfNegative val="0"/>
          <c:cat>
            <c:strRef>
              <c:f>Sheet4!$A$5:$A$10</c:f>
              <c:strCache>
                <c:ptCount val="5"/>
                <c:pt idx="0">
                  <c:v>Canada</c:v>
                </c:pt>
                <c:pt idx="1">
                  <c:v>Germany</c:v>
                </c:pt>
                <c:pt idx="2">
                  <c:v>Spain</c:v>
                </c:pt>
                <c:pt idx="3">
                  <c:v>Sweden</c:v>
                </c:pt>
                <c:pt idx="4">
                  <c:v>UK</c:v>
                </c:pt>
              </c:strCache>
            </c:strRef>
          </c:cat>
          <c:val>
            <c:numRef>
              <c:f>Sheet4!$C$5:$C$10</c:f>
              <c:numCache>
                <c:formatCode>General</c:formatCode>
                <c:ptCount val="5"/>
                <c:pt idx="0">
                  <c:v>8055</c:v>
                </c:pt>
                <c:pt idx="1">
                  <c:v>5932</c:v>
                </c:pt>
                <c:pt idx="2">
                  <c:v>7371</c:v>
                </c:pt>
                <c:pt idx="3">
                  <c:v>6734</c:v>
                </c:pt>
                <c:pt idx="4">
                  <c:v>7480</c:v>
                </c:pt>
              </c:numCache>
            </c:numRef>
          </c:val>
          <c:extLst>
            <c:ext xmlns:c16="http://schemas.microsoft.com/office/drawing/2014/chart" uri="{C3380CC4-5D6E-409C-BE32-E72D297353CC}">
              <c16:uniqueId val="{000000FB-1222-9240-B9FE-C378AE92D1D5}"/>
            </c:ext>
          </c:extLst>
        </c:ser>
        <c:ser>
          <c:idx val="2"/>
          <c:order val="2"/>
          <c:tx>
            <c:strRef>
              <c:f>Sheet4!$D$3:$D$4</c:f>
              <c:strCache>
                <c:ptCount val="1"/>
                <c:pt idx="0">
                  <c:v>Roulette</c:v>
                </c:pt>
              </c:strCache>
            </c:strRef>
          </c:tx>
          <c:spPr>
            <a:solidFill>
              <a:schemeClr val="accent3"/>
            </a:solidFill>
            <a:ln>
              <a:noFill/>
            </a:ln>
            <a:effectLst/>
          </c:spPr>
          <c:invertIfNegative val="0"/>
          <c:cat>
            <c:strRef>
              <c:f>Sheet4!$A$5:$A$10</c:f>
              <c:strCache>
                <c:ptCount val="5"/>
                <c:pt idx="0">
                  <c:v>Canada</c:v>
                </c:pt>
                <c:pt idx="1">
                  <c:v>Germany</c:v>
                </c:pt>
                <c:pt idx="2">
                  <c:v>Spain</c:v>
                </c:pt>
                <c:pt idx="3">
                  <c:v>Sweden</c:v>
                </c:pt>
                <c:pt idx="4">
                  <c:v>UK</c:v>
                </c:pt>
              </c:strCache>
            </c:strRef>
          </c:cat>
          <c:val>
            <c:numRef>
              <c:f>Sheet4!$D$5:$D$10</c:f>
              <c:numCache>
                <c:formatCode>General</c:formatCode>
                <c:ptCount val="5"/>
                <c:pt idx="0">
                  <c:v>6558</c:v>
                </c:pt>
                <c:pt idx="1">
                  <c:v>6135</c:v>
                </c:pt>
                <c:pt idx="2">
                  <c:v>6314</c:v>
                </c:pt>
                <c:pt idx="3">
                  <c:v>7996</c:v>
                </c:pt>
                <c:pt idx="4">
                  <c:v>5989</c:v>
                </c:pt>
              </c:numCache>
            </c:numRef>
          </c:val>
          <c:extLst>
            <c:ext xmlns:c16="http://schemas.microsoft.com/office/drawing/2014/chart" uri="{C3380CC4-5D6E-409C-BE32-E72D297353CC}">
              <c16:uniqueId val="{000000FC-1222-9240-B9FE-C378AE92D1D5}"/>
            </c:ext>
          </c:extLst>
        </c:ser>
        <c:ser>
          <c:idx val="3"/>
          <c:order val="3"/>
          <c:tx>
            <c:strRef>
              <c:f>Sheet4!$E$3:$E$4</c:f>
              <c:strCache>
                <c:ptCount val="1"/>
                <c:pt idx="0">
                  <c:v>Slots</c:v>
                </c:pt>
              </c:strCache>
            </c:strRef>
          </c:tx>
          <c:spPr>
            <a:solidFill>
              <a:schemeClr val="accent4"/>
            </a:solidFill>
            <a:ln>
              <a:noFill/>
            </a:ln>
            <a:effectLst/>
          </c:spPr>
          <c:invertIfNegative val="0"/>
          <c:cat>
            <c:strRef>
              <c:f>Sheet4!$A$5:$A$10</c:f>
              <c:strCache>
                <c:ptCount val="5"/>
                <c:pt idx="0">
                  <c:v>Canada</c:v>
                </c:pt>
                <c:pt idx="1">
                  <c:v>Germany</c:v>
                </c:pt>
                <c:pt idx="2">
                  <c:v>Spain</c:v>
                </c:pt>
                <c:pt idx="3">
                  <c:v>Sweden</c:v>
                </c:pt>
                <c:pt idx="4">
                  <c:v>UK</c:v>
                </c:pt>
              </c:strCache>
            </c:strRef>
          </c:cat>
          <c:val>
            <c:numRef>
              <c:f>Sheet4!$E$5:$E$10</c:f>
              <c:numCache>
                <c:formatCode>General</c:formatCode>
                <c:ptCount val="5"/>
                <c:pt idx="0">
                  <c:v>8657</c:v>
                </c:pt>
                <c:pt idx="1">
                  <c:v>5828</c:v>
                </c:pt>
                <c:pt idx="2">
                  <c:v>7011</c:v>
                </c:pt>
                <c:pt idx="3">
                  <c:v>8596</c:v>
                </c:pt>
                <c:pt idx="4">
                  <c:v>5715</c:v>
                </c:pt>
              </c:numCache>
            </c:numRef>
          </c:val>
          <c:extLst>
            <c:ext xmlns:c16="http://schemas.microsoft.com/office/drawing/2014/chart" uri="{C3380CC4-5D6E-409C-BE32-E72D297353CC}">
              <c16:uniqueId val="{000000FD-1222-9240-B9FE-C378AE92D1D5}"/>
            </c:ext>
          </c:extLst>
        </c:ser>
        <c:dLbls>
          <c:showLegendKey val="0"/>
          <c:showVal val="0"/>
          <c:showCatName val="0"/>
          <c:showSerName val="0"/>
          <c:showPercent val="0"/>
          <c:showBubbleSize val="0"/>
        </c:dLbls>
        <c:gapWidth val="219"/>
        <c:overlap val="-27"/>
        <c:axId val="151883711"/>
        <c:axId val="151891775"/>
      </c:barChart>
      <c:catAx>
        <c:axId val="151883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91775"/>
        <c:crosses val="autoZero"/>
        <c:auto val="1"/>
        <c:lblAlgn val="ctr"/>
        <c:lblOffset val="100"/>
        <c:noMultiLvlLbl val="0"/>
      </c:catAx>
      <c:valAx>
        <c:axId val="1518917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1883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xdr:row>
      <xdr:rowOff>165100</xdr:rowOff>
    </xdr:from>
    <xdr:to>
      <xdr:col>19</xdr:col>
      <xdr:colOff>25400</xdr:colOff>
      <xdr:row>26</xdr:row>
      <xdr:rowOff>50800</xdr:rowOff>
    </xdr:to>
    <xdr:graphicFrame macro="">
      <xdr:nvGraphicFramePr>
        <xdr:cNvPr id="2" name="Chart 1">
          <a:extLst>
            <a:ext uri="{FF2B5EF4-FFF2-40B4-BE49-F238E27FC236}">
              <a16:creationId xmlns:a16="http://schemas.microsoft.com/office/drawing/2014/main" id="{4E538626-323A-5245-ADCD-AB0F9ADAA3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27</xdr:col>
      <xdr:colOff>342900</xdr:colOff>
      <xdr:row>16</xdr:row>
      <xdr:rowOff>139700</xdr:rowOff>
    </xdr:from>
    <xdr:to>
      <xdr:col>31</xdr:col>
      <xdr:colOff>292100</xdr:colOff>
      <xdr:row>29</xdr:row>
      <xdr:rowOff>92069</xdr:rowOff>
    </xdr:to>
    <mc:AlternateContent xmlns:mc="http://schemas.openxmlformats.org/markup-compatibility/2006" xmlns:a14="http://schemas.microsoft.com/office/drawing/2010/main">
      <mc:Choice Requires="a14">
        <xdr:graphicFrame macro="">
          <xdr:nvGraphicFramePr>
            <xdr:cNvPr id="3" name="Country">
              <a:extLst>
                <a:ext uri="{FF2B5EF4-FFF2-40B4-BE49-F238E27FC236}">
                  <a16:creationId xmlns:a16="http://schemas.microsoft.com/office/drawing/2014/main" id="{1B418ABD-7359-5D05-0B21-8722B10FD89E}"/>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4846300" y="31877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165100</xdr:colOff>
      <xdr:row>17</xdr:row>
      <xdr:rowOff>12700</xdr:rowOff>
    </xdr:from>
    <xdr:to>
      <xdr:col>27</xdr:col>
      <xdr:colOff>114300</xdr:colOff>
      <xdr:row>29</xdr:row>
      <xdr:rowOff>155569</xdr:rowOff>
    </xdr:to>
    <mc:AlternateContent xmlns:mc="http://schemas.openxmlformats.org/markup-compatibility/2006" xmlns:a14="http://schemas.microsoft.com/office/drawing/2010/main">
      <mc:Choice Requires="a14">
        <xdr:graphicFrame macro="">
          <xdr:nvGraphicFramePr>
            <xdr:cNvPr id="4" name="VIP_Level">
              <a:extLst>
                <a:ext uri="{FF2B5EF4-FFF2-40B4-BE49-F238E27FC236}">
                  <a16:creationId xmlns:a16="http://schemas.microsoft.com/office/drawing/2014/main" id="{A5F20299-8272-52E2-79E6-C7ABF53C7B11}"/>
                </a:ext>
              </a:extLst>
            </xdr:cNvPr>
            <xdr:cNvGraphicFramePr/>
          </xdr:nvGraphicFramePr>
          <xdr:xfrm>
            <a:off x="0" y="0"/>
            <a:ext cx="0" cy="0"/>
          </xdr:xfrm>
          <a:graphic>
            <a:graphicData uri="http://schemas.microsoft.com/office/drawing/2010/slicer">
              <sle:slicer xmlns:sle="http://schemas.microsoft.com/office/drawing/2010/slicer" name="VIP_Level"/>
            </a:graphicData>
          </a:graphic>
        </xdr:graphicFrame>
      </mc:Choice>
      <mc:Fallback xmlns="">
        <xdr:sp macro="" textlink="">
          <xdr:nvSpPr>
            <xdr:cNvPr id="0" name=""/>
            <xdr:cNvSpPr>
              <a:spLocks noTextEdit="1"/>
            </xdr:cNvSpPr>
          </xdr:nvSpPr>
          <xdr:spPr>
            <a:xfrm>
              <a:off x="12788900" y="32512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101600</xdr:colOff>
      <xdr:row>16</xdr:row>
      <xdr:rowOff>177800</xdr:rowOff>
    </xdr:from>
    <xdr:to>
      <xdr:col>23</xdr:col>
      <xdr:colOff>50800</xdr:colOff>
      <xdr:row>29</xdr:row>
      <xdr:rowOff>130169</xdr:rowOff>
    </xdr:to>
    <mc:AlternateContent xmlns:mc="http://schemas.openxmlformats.org/markup-compatibility/2006" xmlns:a14="http://schemas.microsoft.com/office/drawing/2010/main">
      <mc:Choice Requires="a14">
        <xdr:graphicFrame macro="">
          <xdr:nvGraphicFramePr>
            <xdr:cNvPr id="5" name="Game_Type">
              <a:extLst>
                <a:ext uri="{FF2B5EF4-FFF2-40B4-BE49-F238E27FC236}">
                  <a16:creationId xmlns:a16="http://schemas.microsoft.com/office/drawing/2014/main" id="{E385A54A-5A99-D4B4-D86F-42FD5AF99FC6}"/>
                </a:ext>
              </a:extLst>
            </xdr:cNvPr>
            <xdr:cNvGraphicFramePr/>
          </xdr:nvGraphicFramePr>
          <xdr:xfrm>
            <a:off x="0" y="0"/>
            <a:ext cx="0" cy="0"/>
          </xdr:xfrm>
          <a:graphic>
            <a:graphicData uri="http://schemas.microsoft.com/office/drawing/2010/slicer">
              <sle:slicer xmlns:sle="http://schemas.microsoft.com/office/drawing/2010/slicer" name="Game_Type"/>
            </a:graphicData>
          </a:graphic>
        </xdr:graphicFrame>
      </mc:Choice>
      <mc:Fallback xmlns="">
        <xdr:sp macro="" textlink="">
          <xdr:nvSpPr>
            <xdr:cNvPr id="0" name=""/>
            <xdr:cNvSpPr>
              <a:spLocks noTextEdit="1"/>
            </xdr:cNvSpPr>
          </xdr:nvSpPr>
          <xdr:spPr>
            <a:xfrm>
              <a:off x="10845800" y="32258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7.512919328707" createdVersion="8" refreshedVersion="8" minRefreshableVersion="3" recordCount="500" xr:uid="{1879450F-AE1A-0E49-864B-7FAAE914892F}">
  <cacheSource type="worksheet">
    <worksheetSource ref="A1:M501" sheet="Transactions"/>
  </cacheSource>
  <cacheFields count="13">
    <cacheField name="Player_ID" numFmtId="0">
      <sharedItems/>
    </cacheField>
    <cacheField name="Registration_Date" numFmtId="164">
      <sharedItems containsSemiMixedTypes="0" containsNonDate="0" containsDate="1" containsString="0" minDate="2024-01-01T00:00:00" maxDate="2024-06-30T00:00:00"/>
    </cacheField>
    <cacheField name="Country" numFmtId="0">
      <sharedItems count="5">
        <s v="Sweden"/>
        <s v="Spain"/>
        <s v="UK"/>
        <s v="Canada"/>
        <s v="Germany"/>
      </sharedItems>
    </cacheField>
    <cacheField name="VIP_Level" numFmtId="0">
      <sharedItems/>
    </cacheField>
    <cacheField name="Transaction_Date" numFmtId="164">
      <sharedItems containsSemiMixedTypes="0" containsNonDate="0" containsDate="1" containsString="0" minDate="2024-01-11T00:00:00" maxDate="2024-12-11T00:00:00"/>
    </cacheField>
    <cacheField name="Game_Type" numFmtId="0">
      <sharedItems/>
    </cacheField>
    <cacheField name="Deposit_Amount" numFmtId="0">
      <sharedItems containsSemiMixedTypes="0" containsString="0" containsNumber="1" containsInteger="1" minValue="0" maxValue="500"/>
    </cacheField>
    <cacheField name="Bonus_Amount" numFmtId="0">
      <sharedItems containsSemiMixedTypes="0" containsString="0" containsNumber="1" containsInteger="1" minValue="0" maxValue="250"/>
    </cacheField>
    <cacheField name="Bet_Amount" numFmtId="0">
      <sharedItems containsSemiMixedTypes="0" containsString="0" containsNumber="1" containsInteger="1" minValue="11" maxValue="1000"/>
    </cacheField>
    <cacheField name="Win_Amount" numFmtId="0">
      <sharedItems containsSemiMixedTypes="0" containsString="0" containsNumber="1" containsInteger="1" minValue="0" maxValue="987"/>
    </cacheField>
    <cacheField name="Payment_Fee" numFmtId="0">
      <sharedItems containsSemiMixedTypes="0" containsString="0" containsNumber="1" minValue="0" maxValue="15"/>
    </cacheField>
    <cacheField name="Last_Login_Date" numFmtId="164">
      <sharedItems containsSemiMixedTypes="0" containsNonDate="0" containsDate="1" containsString="0" minDate="2024-01-24T00:00:00" maxDate="2025-01-02T00:00:00"/>
    </cacheField>
    <cacheField name="GRR" numFmtId="0">
      <sharedItems containsSemiMixedTypes="0" containsString="0" containsNumber="1" containsInteger="1" minValue="0" maxValue="979"/>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7.517375347219" createdVersion="8" refreshedVersion="8" minRefreshableVersion="3" recordCount="500" xr:uid="{3C3219CE-8FCF-F64C-8B57-41EA5E86A12E}">
  <cacheSource type="worksheet">
    <worksheetSource ref="A1:N501" sheet="Transactions"/>
  </cacheSource>
  <cacheFields count="16">
    <cacheField name="Player_ID" numFmtId="0">
      <sharedItems count="101">
        <s v="P1000"/>
        <s v="P1040"/>
        <s v="P1064"/>
        <s v="P1087"/>
        <s v="P1089"/>
        <s v="P1006"/>
        <s v="P1096"/>
        <s v="P1026"/>
        <s v="P1098"/>
        <s v="P1093"/>
        <s v="P1039"/>
        <s v="P1061"/>
        <s v="P1025"/>
        <s v="P1029"/>
        <s v="P1008"/>
        <s v="P1021"/>
        <s v="P1060"/>
        <s v="P1045"/>
        <s v="P1010"/>
        <s v="P1031"/>
        <s v="P1003"/>
        <s v="P1055"/>
        <s v="P1051"/>
        <s v="P1086"/>
        <s v="P1037"/>
        <s v="P1058"/>
        <s v="P1059"/>
        <s v="P1053"/>
        <s v="P1020"/>
        <s v="P1032"/>
        <s v="P1057"/>
        <s v="P1067"/>
        <s v="P1090"/>
        <s v="P1081"/>
        <s v="P1023"/>
        <s v="P1024"/>
        <s v="P1048"/>
        <s v="P1038"/>
        <s v="P1079"/>
        <s v="P1019"/>
        <s v="P1095"/>
        <s v="P1033"/>
        <s v="P1013"/>
        <s v="P1012"/>
        <s v="P1035"/>
        <s v="P1047"/>
        <s v="P1066"/>
        <s v="P1082"/>
        <s v="P1042"/>
        <s v="P1092"/>
        <s v="P1076"/>
        <s v="P1068"/>
        <s v="P1065"/>
        <s v="P1018"/>
        <s v="P1036"/>
        <s v="P1099"/>
        <s v="P1028"/>
        <s v="P1094"/>
        <s v="P1074"/>
        <s v="P1071"/>
        <s v="P1034"/>
        <s v="P1100"/>
        <s v="P1041"/>
        <s v="P1004"/>
        <s v="P1007"/>
        <s v="P1063"/>
        <s v="P1073"/>
        <s v="P1044"/>
        <s v="P1043"/>
        <s v="P1091"/>
        <s v="P1049"/>
        <s v="P1077"/>
        <s v="P1054"/>
        <s v="P1052"/>
        <s v="P1085"/>
        <s v="P1083"/>
        <s v="P1005"/>
        <s v="P1046"/>
        <s v="P1072"/>
        <s v="P1080"/>
        <s v="P1015"/>
        <s v="P1001"/>
        <s v="P1069"/>
        <s v="P1075"/>
        <s v="P1016"/>
        <s v="P1027"/>
        <s v="P1030"/>
        <s v="P1014"/>
        <s v="P1088"/>
        <s v="P1009"/>
        <s v="P1017"/>
        <s v="P1062"/>
        <s v="P1002"/>
        <s v="P1097"/>
        <s v="P1011"/>
        <s v="P1070"/>
        <s v="P1050"/>
        <s v="P1084"/>
        <s v="P1056"/>
        <s v="P1078"/>
        <s v="P1022"/>
      </sharedItems>
    </cacheField>
    <cacheField name="Registration_Date" numFmtId="164">
      <sharedItems containsSemiMixedTypes="0" containsNonDate="0" containsDate="1" containsString="0" minDate="2024-01-01T00:00:00" maxDate="2024-06-30T00:00:00"/>
    </cacheField>
    <cacheField name="Country" numFmtId="0">
      <sharedItems count="5">
        <s v="Sweden"/>
        <s v="Spain"/>
        <s v="UK"/>
        <s v="Canada"/>
        <s v="Germany"/>
      </sharedItems>
    </cacheField>
    <cacheField name="VIP_Level" numFmtId="0">
      <sharedItems count="3">
        <s v="Regular"/>
        <s v="VIP"/>
        <s v="Gold"/>
      </sharedItems>
    </cacheField>
    <cacheField name="Transaction_Date" numFmtId="164">
      <sharedItems containsSemiMixedTypes="0" containsNonDate="0" containsDate="1" containsString="0" minDate="2024-01-11T00:00:00" maxDate="2024-12-11T00:00:00" count="229">
        <d v="2024-08-13T00:00:00"/>
        <d v="2024-07-11T00:00:00"/>
        <d v="2024-03-30T00:00:00"/>
        <d v="2024-02-12T00:00:00"/>
        <d v="2024-05-10T00:00:00"/>
        <d v="2024-04-28T00:00:00"/>
        <d v="2024-08-18T00:00:00"/>
        <d v="2024-05-24T00:00:00"/>
        <d v="2024-06-02T00:00:00"/>
        <d v="2024-06-23T00:00:00"/>
        <d v="2024-07-19T00:00:00"/>
        <d v="2024-07-06T00:00:00"/>
        <d v="2024-11-11T00:00:00"/>
        <d v="2024-06-17T00:00:00"/>
        <d v="2024-03-16T00:00:00"/>
        <d v="2024-09-10T00:00:00"/>
        <d v="2024-11-08T00:00:00"/>
        <d v="2024-09-05T00:00:00"/>
        <d v="2024-05-15T00:00:00"/>
        <d v="2024-03-21T00:00:00"/>
        <d v="2024-09-03T00:00:00"/>
        <d v="2024-06-04T00:00:00"/>
        <d v="2024-08-27T00:00:00"/>
        <d v="2024-05-25T00:00:00"/>
        <d v="2024-04-26T00:00:00"/>
        <d v="2024-04-15T00:00:00"/>
        <d v="2024-05-29T00:00:00"/>
        <d v="2024-09-20T00:00:00"/>
        <d v="2024-07-09T00:00:00"/>
        <d v="2024-06-30T00:00:00"/>
        <d v="2024-07-14T00:00:00"/>
        <d v="2024-02-21T00:00:00"/>
        <d v="2024-07-03T00:00:00"/>
        <d v="2024-07-12T00:00:00"/>
        <d v="2024-04-09T00:00:00"/>
        <d v="2024-10-06T00:00:00"/>
        <d v="2024-04-21T00:00:00"/>
        <d v="2024-02-07T00:00:00"/>
        <d v="2024-11-22T00:00:00"/>
        <d v="2024-04-02T00:00:00"/>
        <d v="2024-06-01T00:00:00"/>
        <d v="2024-05-01T00:00:00"/>
        <d v="2024-09-15T00:00:00"/>
        <d v="2024-03-05T00:00:00"/>
        <d v="2024-09-06T00:00:00"/>
        <d v="2024-08-04T00:00:00"/>
        <d v="2024-07-07T00:00:00"/>
        <d v="2024-06-11T00:00:00"/>
        <d v="2024-02-15T00:00:00"/>
        <d v="2024-10-20T00:00:00"/>
        <d v="2024-10-01T00:00:00"/>
        <d v="2024-05-22T00:00:00"/>
        <d v="2024-06-15T00:00:00"/>
        <d v="2024-07-29T00:00:00"/>
        <d v="2024-03-12T00:00:00"/>
        <d v="2024-04-13T00:00:00"/>
        <d v="2024-05-20T00:00:00"/>
        <d v="2024-08-31T00:00:00"/>
        <d v="2024-08-21T00:00:00"/>
        <d v="2024-08-23T00:00:00"/>
        <d v="2024-09-11T00:00:00"/>
        <d v="2024-10-14T00:00:00"/>
        <d v="2024-03-08T00:00:00"/>
        <d v="2024-07-17T00:00:00"/>
        <d v="2024-07-08T00:00:00"/>
        <d v="2024-09-07T00:00:00"/>
        <d v="2024-05-06T00:00:00"/>
        <d v="2024-06-13T00:00:00"/>
        <d v="2024-06-28T00:00:00"/>
        <d v="2024-01-23T00:00:00"/>
        <d v="2024-09-23T00:00:00"/>
        <d v="2024-07-04T00:00:00"/>
        <d v="2024-09-13T00:00:00"/>
        <d v="2024-07-31T00:00:00"/>
        <d v="2024-08-15T00:00:00"/>
        <d v="2024-04-17T00:00:00"/>
        <d v="2024-09-16T00:00:00"/>
        <d v="2024-09-09T00:00:00"/>
        <d v="2024-04-18T00:00:00"/>
        <d v="2024-07-10T00:00:00"/>
        <d v="2024-07-16T00:00:00"/>
        <d v="2024-07-20T00:00:00"/>
        <d v="2024-03-17T00:00:00"/>
        <d v="2024-02-24T00:00:00"/>
        <d v="2024-04-04T00:00:00"/>
        <d v="2024-07-24T00:00:00"/>
        <d v="2024-05-11T00:00:00"/>
        <d v="2024-08-16T00:00:00"/>
        <d v="2024-06-25T00:00:00"/>
        <d v="2024-05-08T00:00:00"/>
        <d v="2024-12-06T00:00:00"/>
        <d v="2024-07-05T00:00:00"/>
        <d v="2024-07-30T00:00:00"/>
        <d v="2024-05-30T00:00:00"/>
        <d v="2024-08-10T00:00:00"/>
        <d v="2024-07-28T00:00:00"/>
        <d v="2024-03-13T00:00:00"/>
        <d v="2024-04-12T00:00:00"/>
        <d v="2024-01-31T00:00:00"/>
        <d v="2024-09-27T00:00:00"/>
        <d v="2024-08-26T00:00:00"/>
        <d v="2024-09-26T00:00:00"/>
        <d v="2024-05-31T00:00:00"/>
        <d v="2024-12-01T00:00:00"/>
        <d v="2024-05-04T00:00:00"/>
        <d v="2024-08-11T00:00:00"/>
        <d v="2024-10-16T00:00:00"/>
        <d v="2024-04-23T00:00:00"/>
        <d v="2024-06-05T00:00:00"/>
        <d v="2024-07-21T00:00:00"/>
        <d v="2024-03-09T00:00:00"/>
        <d v="2024-06-29T00:00:00"/>
        <d v="2024-06-24T00:00:00"/>
        <d v="2024-02-17T00:00:00"/>
        <d v="2024-04-07T00:00:00"/>
        <d v="2024-01-22T00:00:00"/>
        <d v="2024-10-10T00:00:00"/>
        <d v="2024-04-19T00:00:00"/>
        <d v="2024-02-20T00:00:00"/>
        <d v="2024-06-20T00:00:00"/>
        <d v="2024-05-16T00:00:00"/>
        <d v="2024-08-28T00:00:00"/>
        <d v="2024-08-24T00:00:00"/>
        <d v="2024-06-21T00:00:00"/>
        <d v="2024-06-19T00:00:00"/>
        <d v="2024-06-03T00:00:00"/>
        <d v="2024-04-22T00:00:00"/>
        <d v="2024-04-16T00:00:00"/>
        <d v="2024-02-14T00:00:00"/>
        <d v="2024-04-25T00:00:00"/>
        <d v="2024-05-05T00:00:00"/>
        <d v="2024-08-29T00:00:00"/>
        <d v="2024-06-18T00:00:00"/>
        <d v="2024-07-01T00:00:00"/>
        <d v="2024-05-02T00:00:00"/>
        <d v="2024-06-08T00:00:00"/>
        <d v="2024-05-21T00:00:00"/>
        <d v="2024-03-29T00:00:00"/>
        <d v="2024-11-24T00:00:00"/>
        <d v="2024-05-17T00:00:00"/>
        <d v="2024-03-31T00:00:00"/>
        <d v="2024-09-02T00:00:00"/>
        <d v="2024-04-03T00:00:00"/>
        <d v="2024-04-27T00:00:00"/>
        <d v="2024-03-11T00:00:00"/>
        <d v="2024-07-27T00:00:00"/>
        <d v="2024-01-24T00:00:00"/>
        <d v="2024-04-08T00:00:00"/>
        <d v="2024-08-25T00:00:00"/>
        <d v="2024-07-18T00:00:00"/>
        <d v="2024-07-02T00:00:00"/>
        <d v="2024-07-22T00:00:00"/>
        <d v="2024-08-08T00:00:00"/>
        <d v="2024-10-29T00:00:00"/>
        <d v="2024-06-09T00:00:00"/>
        <d v="2024-07-25T00:00:00"/>
        <d v="2024-10-09T00:00:00"/>
        <d v="2024-06-16T00:00:00"/>
        <d v="2024-08-06T00:00:00"/>
        <d v="2024-02-13T00:00:00"/>
        <d v="2024-05-13T00:00:00"/>
        <d v="2024-11-03T00:00:00"/>
        <d v="2024-08-09T00:00:00"/>
        <d v="2024-03-24T00:00:00"/>
        <d v="2024-08-19T00:00:00"/>
        <d v="2024-02-06T00:00:00"/>
        <d v="2024-08-14T00:00:00"/>
        <d v="2024-12-05T00:00:00"/>
        <d v="2024-09-04T00:00:00"/>
        <d v="2024-05-23T00:00:00"/>
        <d v="2024-07-26T00:00:00"/>
        <d v="2024-02-19T00:00:00"/>
        <d v="2024-01-19T00:00:00"/>
        <d v="2024-08-03T00:00:00"/>
        <d v="2024-08-22T00:00:00"/>
        <d v="2024-03-03T00:00:00"/>
        <d v="2024-06-07T00:00:00"/>
        <d v="2024-10-03T00:00:00"/>
        <d v="2024-08-12T00:00:00"/>
        <d v="2024-06-26T00:00:00"/>
        <d v="2024-06-06T00:00:00"/>
        <d v="2024-06-10T00:00:00"/>
        <d v="2024-10-24T00:00:00"/>
        <d v="2024-05-12T00:00:00"/>
        <d v="2024-10-12T00:00:00"/>
        <d v="2024-09-29T00:00:00"/>
        <d v="2024-06-22T00:00:00"/>
        <d v="2024-11-05T00:00:00"/>
        <d v="2024-04-10T00:00:00"/>
        <d v="2024-05-27T00:00:00"/>
        <d v="2024-11-20T00:00:00"/>
        <d v="2024-10-28T00:00:00"/>
        <d v="2024-09-24T00:00:00"/>
        <d v="2024-03-28T00:00:00"/>
        <d v="2024-08-20T00:00:00"/>
        <d v="2024-09-30T00:00:00"/>
        <d v="2024-08-02T00:00:00"/>
        <d v="2024-12-02T00:00:00"/>
        <d v="2024-10-08T00:00:00"/>
        <d v="2024-03-07T00:00:00"/>
        <d v="2024-10-05T00:00:00"/>
        <d v="2024-10-04T00:00:00"/>
        <d v="2024-01-11T00:00:00"/>
        <d v="2024-02-04T00:00:00"/>
        <d v="2024-02-08T00:00:00"/>
        <d v="2024-07-15T00:00:00"/>
        <d v="2024-05-18T00:00:00"/>
        <d v="2024-04-06T00:00:00"/>
        <d v="2024-08-01T00:00:00"/>
        <d v="2024-10-21T00:00:00"/>
        <d v="2024-06-14T00:00:00"/>
        <d v="2024-03-10T00:00:00"/>
        <d v="2024-03-06T00:00:00"/>
        <d v="2024-09-08T00:00:00"/>
        <d v="2024-01-21T00:00:00"/>
        <d v="2024-10-02T00:00:00"/>
        <d v="2024-10-22T00:00:00"/>
        <d v="2024-02-22T00:00:00"/>
        <d v="2024-10-15T00:00:00"/>
        <d v="2024-05-03T00:00:00"/>
        <d v="2024-09-17T00:00:00"/>
        <d v="2024-07-13T00:00:00"/>
        <d v="2024-12-10T00:00:00"/>
        <d v="2024-02-09T00:00:00"/>
        <d v="2024-03-22T00:00:00"/>
        <d v="2024-04-20T00:00:00"/>
        <d v="2024-02-10T00:00:00"/>
        <d v="2024-09-25T00:00:00"/>
        <d v="2024-02-03T00:00:00"/>
      </sharedItems>
      <fieldGroup par="15"/>
    </cacheField>
    <cacheField name="Game_Type" numFmtId="0">
      <sharedItems count="4">
        <s v="Roulette"/>
        <s v="Live Casino"/>
        <s v="Slots"/>
        <s v="Blackjack"/>
      </sharedItems>
    </cacheField>
    <cacheField name="Deposit_Amount" numFmtId="0">
      <sharedItems containsSemiMixedTypes="0" containsString="0" containsNumber="1" containsInteger="1" minValue="0" maxValue="500"/>
    </cacheField>
    <cacheField name="Bonus_Amount" numFmtId="0">
      <sharedItems containsSemiMixedTypes="0" containsString="0" containsNumber="1" containsInteger="1" minValue="0" maxValue="250"/>
    </cacheField>
    <cacheField name="Bet_Amount" numFmtId="0">
      <sharedItems containsSemiMixedTypes="0" containsString="0" containsNumber="1" containsInteger="1" minValue="11" maxValue="1000"/>
    </cacheField>
    <cacheField name="Win_Amount" numFmtId="0">
      <sharedItems containsSemiMixedTypes="0" containsString="0" containsNumber="1" containsInteger="1" minValue="0" maxValue="987"/>
    </cacheField>
    <cacheField name="Payment_Fee" numFmtId="0">
      <sharedItems containsSemiMixedTypes="0" containsString="0" containsNumber="1" minValue="0" maxValue="15"/>
    </cacheField>
    <cacheField name="Last_Login_Date" numFmtId="164">
      <sharedItems containsSemiMixedTypes="0" containsNonDate="0" containsDate="1" containsString="0" minDate="2024-01-24T00:00:00" maxDate="2025-01-02T00:00:00"/>
    </cacheField>
    <cacheField name="GRR" numFmtId="0">
      <sharedItems containsSemiMixedTypes="0" containsString="0" containsNumber="1" containsInteger="1" minValue="0" maxValue="979"/>
    </cacheField>
    <cacheField name="NGR" numFmtId="0">
      <sharedItems containsSemiMixedTypes="0" containsString="0" containsNumber="1" minValue="-259" maxValue="973"/>
    </cacheField>
    <cacheField name="Days (Transaction_Date)" numFmtId="0" databaseField="0">
      <fieldGroup base="4">
        <rangePr groupBy="days" startDate="2024-01-11T00:00:00" endDate="2024-12-11T00:00:00"/>
        <groupItems count="368">
          <s v="&lt;1/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2/11/24"/>
        </groupItems>
      </fieldGroup>
    </cacheField>
    <cacheField name="Months (Transaction_Date)" numFmtId="0" databaseField="0">
      <fieldGroup base="4">
        <rangePr groupBy="months" startDate="2024-01-11T00:00:00" endDate="2024-12-11T00:00:00"/>
        <groupItems count="14">
          <s v="&lt;1/11/24"/>
          <s v="Jan"/>
          <s v="Feb"/>
          <s v="Mar"/>
          <s v="Apr"/>
          <s v="May"/>
          <s v="Jun"/>
          <s v="Jul"/>
          <s v="Aug"/>
          <s v="Sep"/>
          <s v="Oct"/>
          <s v="Nov"/>
          <s v="Dec"/>
          <s v="&gt;12/11/24"/>
        </groupItems>
      </fieldGroup>
    </cacheField>
  </cacheFields>
  <extLst>
    <ext xmlns:x14="http://schemas.microsoft.com/office/spreadsheetml/2009/9/main" uri="{725AE2AE-9491-48be-B2B4-4EB974FC3084}">
      <x14:pivotCacheDefinition pivotCacheId="14225327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P1000"/>
    <d v="2024-03-19T00:00:00"/>
    <x v="0"/>
    <s v="Regular"/>
    <d v="2024-08-13T00:00:00"/>
    <s v="Roulette"/>
    <n v="500"/>
    <n v="100"/>
    <n v="969"/>
    <n v="737"/>
    <n v="15"/>
    <d v="2024-08-25T00:00:00"/>
    <n v="232"/>
  </r>
  <r>
    <s v="P1040"/>
    <d v="2024-02-21T00:00:00"/>
    <x v="1"/>
    <s v="VIP"/>
    <d v="2024-07-11T00:00:00"/>
    <s v="Live Casino"/>
    <n v="0"/>
    <n v="0"/>
    <n v="944"/>
    <n v="703"/>
    <n v="0"/>
    <d v="2024-07-27T00:00:00"/>
    <n v="241"/>
  </r>
  <r>
    <s v="P1064"/>
    <d v="2024-03-02T00:00:00"/>
    <x v="2"/>
    <s v="Regular"/>
    <d v="2024-03-30T00:00:00"/>
    <s v="Slots"/>
    <n v="200"/>
    <n v="100"/>
    <n v="127"/>
    <n v="72"/>
    <n v="6"/>
    <d v="2024-04-28T00:00:00"/>
    <n v="55"/>
  </r>
  <r>
    <s v="P1087"/>
    <d v="2024-02-04T00:00:00"/>
    <x v="3"/>
    <s v="Gold"/>
    <d v="2024-02-12T00:00:00"/>
    <s v="Roulette"/>
    <n v="500"/>
    <n v="250"/>
    <n v="701"/>
    <n v="195"/>
    <n v="15"/>
    <d v="2024-02-12T00:00:00"/>
    <n v="506"/>
  </r>
  <r>
    <s v="P1089"/>
    <d v="2024-03-05T00:00:00"/>
    <x v="0"/>
    <s v="Gold"/>
    <d v="2024-05-10T00:00:00"/>
    <s v="Slots"/>
    <n v="0"/>
    <n v="0"/>
    <n v="644"/>
    <n v="545"/>
    <n v="0"/>
    <d v="2024-05-29T00:00:00"/>
    <n v="99"/>
  </r>
  <r>
    <s v="P1006"/>
    <d v="2024-03-11T00:00:00"/>
    <x v="1"/>
    <s v="Regular"/>
    <d v="2024-04-28T00:00:00"/>
    <s v="Slots"/>
    <n v="100"/>
    <n v="0"/>
    <n v="648"/>
    <n v="537"/>
    <n v="3"/>
    <d v="2024-05-24T00:00:00"/>
    <n v="111"/>
  </r>
  <r>
    <s v="P1096"/>
    <d v="2024-06-16T00:00:00"/>
    <x v="4"/>
    <s v="VIP"/>
    <d v="2024-08-18T00:00:00"/>
    <s v="Live Casino"/>
    <n v="20"/>
    <n v="4"/>
    <n v="368"/>
    <n v="86"/>
    <n v="0.6"/>
    <d v="2024-09-04T00:00:00"/>
    <n v="282"/>
  </r>
  <r>
    <s v="P1026"/>
    <d v="2024-04-26T00:00:00"/>
    <x v="0"/>
    <s v="Gold"/>
    <d v="2024-05-24T00:00:00"/>
    <s v="Blackjack"/>
    <n v="20"/>
    <n v="10"/>
    <n v="321"/>
    <n v="248"/>
    <n v="0.6"/>
    <d v="2024-06-07T00:00:00"/>
    <n v="73"/>
  </r>
  <r>
    <s v="P1098"/>
    <d v="2024-03-11T00:00:00"/>
    <x v="1"/>
    <s v="Gold"/>
    <d v="2024-06-02T00:00:00"/>
    <s v="Live Casino"/>
    <n v="20"/>
    <n v="4"/>
    <n v="892"/>
    <n v="864"/>
    <n v="0.6"/>
    <d v="2024-06-28T00:00:00"/>
    <n v="28"/>
  </r>
  <r>
    <s v="P1093"/>
    <d v="2024-01-15T00:00:00"/>
    <x v="3"/>
    <s v="Gold"/>
    <d v="2024-06-23T00:00:00"/>
    <s v="Blackjack"/>
    <n v="0"/>
    <n v="0"/>
    <n v="207"/>
    <n v="151"/>
    <n v="0"/>
    <d v="2024-06-28T00:00:00"/>
    <n v="56"/>
  </r>
  <r>
    <s v="P1039"/>
    <d v="2024-02-20T00:00:00"/>
    <x v="0"/>
    <s v="Regular"/>
    <d v="2024-03-30T00:00:00"/>
    <s v="Slots"/>
    <n v="100"/>
    <n v="20"/>
    <n v="786"/>
    <n v="68"/>
    <n v="3"/>
    <d v="2024-04-12T00:00:00"/>
    <n v="718"/>
  </r>
  <r>
    <s v="P1061"/>
    <d v="2024-03-01T00:00:00"/>
    <x v="2"/>
    <s v="VIP"/>
    <d v="2024-07-19T00:00:00"/>
    <s v="Roulette"/>
    <n v="0"/>
    <n v="0"/>
    <n v="503"/>
    <n v="399"/>
    <n v="0"/>
    <d v="2024-07-29T00:00:00"/>
    <n v="104"/>
  </r>
  <r>
    <s v="P1025"/>
    <d v="2024-02-25T00:00:00"/>
    <x v="2"/>
    <s v="VIP"/>
    <d v="2024-07-06T00:00:00"/>
    <s v="Blackjack"/>
    <n v="200"/>
    <n v="0"/>
    <n v="974"/>
    <n v="541"/>
    <n v="6"/>
    <d v="2024-08-04T00:00:00"/>
    <n v="433"/>
  </r>
  <r>
    <s v="P1040"/>
    <d v="2024-06-25T00:00:00"/>
    <x v="2"/>
    <s v="VIP"/>
    <d v="2024-11-11T00:00:00"/>
    <s v="Roulette"/>
    <n v="20"/>
    <n v="10"/>
    <n v="495"/>
    <n v="301"/>
    <n v="0.6"/>
    <d v="2024-12-06T00:00:00"/>
    <n v="194"/>
  </r>
  <r>
    <s v="P1029"/>
    <d v="2024-01-13T00:00:00"/>
    <x v="1"/>
    <s v="Regular"/>
    <d v="2024-06-17T00:00:00"/>
    <s v="Live Casino"/>
    <n v="20"/>
    <n v="4"/>
    <n v="636"/>
    <n v="211"/>
    <n v="0.6"/>
    <d v="2024-07-10T00:00:00"/>
    <n v="425"/>
  </r>
  <r>
    <s v="P1008"/>
    <d v="2024-02-25T00:00:00"/>
    <x v="0"/>
    <s v="Regular"/>
    <d v="2024-03-16T00:00:00"/>
    <s v="Roulette"/>
    <n v="500"/>
    <n v="0"/>
    <n v="946"/>
    <n v="196"/>
    <n v="15"/>
    <d v="2024-03-25T00:00:00"/>
    <n v="750"/>
  </r>
  <r>
    <s v="P1064"/>
    <d v="2024-05-19T00:00:00"/>
    <x v="4"/>
    <s v="Regular"/>
    <d v="2024-09-10T00:00:00"/>
    <s v="Live Casino"/>
    <n v="500"/>
    <n v="250"/>
    <n v="478"/>
    <n v="350"/>
    <n v="15"/>
    <d v="2024-10-09T00:00:00"/>
    <n v="128"/>
  </r>
  <r>
    <s v="P1021"/>
    <d v="2024-06-27T00:00:00"/>
    <x v="0"/>
    <s v="VIP"/>
    <d v="2024-11-08T00:00:00"/>
    <s v="Blackjack"/>
    <n v="100"/>
    <n v="20"/>
    <n v="706"/>
    <n v="157"/>
    <n v="3"/>
    <d v="2024-11-10T00:00:00"/>
    <n v="549"/>
  </r>
  <r>
    <s v="P1060"/>
    <d v="2024-06-26T00:00:00"/>
    <x v="4"/>
    <s v="Gold"/>
    <d v="2024-09-05T00:00:00"/>
    <s v="Blackjack"/>
    <n v="20"/>
    <n v="4"/>
    <n v="367"/>
    <n v="223"/>
    <n v="0.6"/>
    <d v="2024-10-01T00:00:00"/>
    <n v="144"/>
  </r>
  <r>
    <s v="P1064"/>
    <d v="2024-01-20T00:00:00"/>
    <x v="0"/>
    <s v="VIP"/>
    <d v="2024-05-15T00:00:00"/>
    <s v="Blackjack"/>
    <n v="0"/>
    <n v="0"/>
    <n v="821"/>
    <n v="479"/>
    <n v="0"/>
    <d v="2024-06-14T00:00:00"/>
    <n v="342"/>
  </r>
  <r>
    <s v="P1045"/>
    <d v="2024-01-13T00:00:00"/>
    <x v="1"/>
    <s v="Gold"/>
    <d v="2024-03-21T00:00:00"/>
    <s v="Live Casino"/>
    <n v="200"/>
    <n v="0"/>
    <n v="862"/>
    <n v="648"/>
    <n v="6"/>
    <d v="2024-03-25T00:00:00"/>
    <n v="214"/>
  </r>
  <r>
    <s v="P1010"/>
    <d v="2024-06-24T00:00:00"/>
    <x v="3"/>
    <s v="Regular"/>
    <d v="2024-09-03T00:00:00"/>
    <s v="Slots"/>
    <n v="100"/>
    <n v="0"/>
    <n v="184"/>
    <n v="114"/>
    <n v="3"/>
    <d v="2024-09-30T00:00:00"/>
    <n v="70"/>
  </r>
  <r>
    <s v="P1029"/>
    <d v="2024-01-29T00:00:00"/>
    <x v="2"/>
    <s v="Regular"/>
    <d v="2024-06-04T00:00:00"/>
    <s v="Live Casino"/>
    <n v="20"/>
    <n v="0"/>
    <n v="686"/>
    <n v="143"/>
    <n v="0.6"/>
    <d v="2024-06-23T00:00:00"/>
    <n v="543"/>
  </r>
  <r>
    <s v="P1031"/>
    <d v="2024-03-20T00:00:00"/>
    <x v="1"/>
    <s v="VIP"/>
    <d v="2024-03-30T00:00:00"/>
    <s v="Roulette"/>
    <n v="200"/>
    <n v="40"/>
    <n v="965"/>
    <n v="893"/>
    <n v="6"/>
    <d v="2024-04-04T00:00:00"/>
    <n v="72"/>
  </r>
  <r>
    <s v="P1003"/>
    <d v="2024-05-19T00:00:00"/>
    <x v="1"/>
    <s v="VIP"/>
    <d v="2024-08-27T00:00:00"/>
    <s v="Blackjack"/>
    <n v="50"/>
    <n v="0"/>
    <n v="752"/>
    <n v="244"/>
    <n v="1.5"/>
    <d v="2024-09-14T00:00:00"/>
    <n v="508"/>
  </r>
  <r>
    <s v="P1055"/>
    <d v="2024-01-04T00:00:00"/>
    <x v="0"/>
    <s v="Gold"/>
    <d v="2024-05-25T00:00:00"/>
    <s v="Slots"/>
    <n v="50"/>
    <n v="10"/>
    <n v="748"/>
    <n v="116"/>
    <n v="1.5"/>
    <d v="2024-05-31T00:00:00"/>
    <n v="632"/>
  </r>
  <r>
    <s v="P1026"/>
    <d v="2024-04-13T00:00:00"/>
    <x v="3"/>
    <s v="Gold"/>
    <d v="2024-04-26T00:00:00"/>
    <s v="Blackjack"/>
    <n v="200"/>
    <n v="40"/>
    <n v="819"/>
    <n v="502"/>
    <n v="6"/>
    <d v="2024-05-09T00:00:00"/>
    <n v="317"/>
  </r>
  <r>
    <s v="P1006"/>
    <d v="2024-03-15T00:00:00"/>
    <x v="1"/>
    <s v="Gold"/>
    <d v="2024-04-15T00:00:00"/>
    <s v="Blackjack"/>
    <n v="500"/>
    <n v="0"/>
    <n v="892"/>
    <n v="576"/>
    <n v="15"/>
    <d v="2024-05-14T00:00:00"/>
    <n v="316"/>
  </r>
  <r>
    <s v="P1060"/>
    <d v="2024-02-24T00:00:00"/>
    <x v="1"/>
    <s v="VIP"/>
    <d v="2024-05-29T00:00:00"/>
    <s v="Roulette"/>
    <n v="20"/>
    <n v="10"/>
    <n v="474"/>
    <n v="422"/>
    <n v="0.6"/>
    <d v="2024-06-26T00:00:00"/>
    <n v="52"/>
  </r>
  <r>
    <s v="P1051"/>
    <d v="2024-05-06T00:00:00"/>
    <x v="4"/>
    <s v="Gold"/>
    <d v="2024-05-15T00:00:00"/>
    <s v="Slots"/>
    <n v="0"/>
    <n v="0"/>
    <n v="197"/>
    <n v="114"/>
    <n v="0"/>
    <d v="2024-05-25T00:00:00"/>
    <n v="83"/>
  </r>
  <r>
    <s v="P1086"/>
    <d v="2024-05-26T00:00:00"/>
    <x v="0"/>
    <s v="VIP"/>
    <d v="2024-09-20T00:00:00"/>
    <s v="Live Casino"/>
    <n v="20"/>
    <n v="10"/>
    <n v="345"/>
    <n v="32"/>
    <n v="0.6"/>
    <d v="2024-10-07T00:00:00"/>
    <n v="313"/>
  </r>
  <r>
    <s v="P1037"/>
    <d v="2024-04-30T00:00:00"/>
    <x v="2"/>
    <s v="VIP"/>
    <d v="2024-09-20T00:00:00"/>
    <s v="Live Casino"/>
    <n v="200"/>
    <n v="0"/>
    <n v="148"/>
    <n v="138"/>
    <n v="6"/>
    <d v="2024-10-07T00:00:00"/>
    <n v="10"/>
  </r>
  <r>
    <s v="P1058"/>
    <d v="2024-06-14T00:00:00"/>
    <x v="3"/>
    <s v="Gold"/>
    <d v="2024-07-09T00:00:00"/>
    <s v="Slots"/>
    <n v="200"/>
    <n v="100"/>
    <n v="302"/>
    <n v="18"/>
    <n v="6"/>
    <d v="2024-07-12T00:00:00"/>
    <n v="284"/>
  </r>
  <r>
    <s v="P1031"/>
    <d v="2024-01-25T00:00:00"/>
    <x v="2"/>
    <s v="Regular"/>
    <d v="2024-06-23T00:00:00"/>
    <s v="Roulette"/>
    <n v="0"/>
    <n v="0"/>
    <n v="624"/>
    <n v="141"/>
    <n v="0"/>
    <d v="2024-06-27T00:00:00"/>
    <n v="483"/>
  </r>
  <r>
    <s v="P1059"/>
    <d v="2024-03-09T00:00:00"/>
    <x v="0"/>
    <s v="Gold"/>
    <d v="2024-05-10T00:00:00"/>
    <s v="Live Casino"/>
    <n v="200"/>
    <n v="100"/>
    <n v="902"/>
    <n v="645"/>
    <n v="6"/>
    <d v="2024-05-14T00:00:00"/>
    <n v="257"/>
  </r>
  <r>
    <s v="P1053"/>
    <d v="2024-03-12T00:00:00"/>
    <x v="4"/>
    <s v="VIP"/>
    <d v="2024-06-30T00:00:00"/>
    <s v="Blackjack"/>
    <n v="100"/>
    <n v="0"/>
    <n v="92"/>
    <n v="58"/>
    <n v="3"/>
    <d v="2024-07-06T00:00:00"/>
    <n v="34"/>
  </r>
  <r>
    <s v="P1031"/>
    <d v="2024-03-07T00:00:00"/>
    <x v="2"/>
    <s v="VIP"/>
    <d v="2024-07-14T00:00:00"/>
    <s v="Slots"/>
    <n v="20"/>
    <n v="4"/>
    <n v="73"/>
    <n v="41"/>
    <n v="0.6"/>
    <d v="2024-08-13T00:00:00"/>
    <n v="32"/>
  </r>
  <r>
    <s v="P1006"/>
    <d v="2024-01-13T00:00:00"/>
    <x v="2"/>
    <s v="Gold"/>
    <d v="2024-02-21T00:00:00"/>
    <s v="Live Casino"/>
    <n v="0"/>
    <n v="0"/>
    <n v="384"/>
    <n v="227"/>
    <n v="0"/>
    <d v="2024-03-22T00:00:00"/>
    <n v="157"/>
  </r>
  <r>
    <s v="P1010"/>
    <d v="2024-01-25T00:00:00"/>
    <x v="3"/>
    <s v="Regular"/>
    <d v="2024-07-03T00:00:00"/>
    <s v="Live Casino"/>
    <n v="500"/>
    <n v="250"/>
    <n v="157"/>
    <n v="55"/>
    <n v="15"/>
    <d v="2024-07-04T00:00:00"/>
    <n v="102"/>
  </r>
  <r>
    <s v="P1020"/>
    <d v="2024-01-24T00:00:00"/>
    <x v="3"/>
    <s v="VIP"/>
    <d v="2024-07-12T00:00:00"/>
    <s v="Live Casino"/>
    <n v="200"/>
    <n v="0"/>
    <n v="670"/>
    <n v="527"/>
    <n v="6"/>
    <d v="2024-07-16T00:00:00"/>
    <n v="143"/>
  </r>
  <r>
    <s v="P1055"/>
    <d v="2024-02-16T00:00:00"/>
    <x v="2"/>
    <s v="Gold"/>
    <d v="2024-04-09T00:00:00"/>
    <s v="Live Casino"/>
    <n v="100"/>
    <n v="20"/>
    <n v="787"/>
    <n v="61"/>
    <n v="3"/>
    <d v="2024-04-10T00:00:00"/>
    <n v="726"/>
  </r>
  <r>
    <s v="P1032"/>
    <d v="2024-02-26T00:00:00"/>
    <x v="2"/>
    <s v="VIP"/>
    <d v="2024-07-09T00:00:00"/>
    <s v="Roulette"/>
    <n v="200"/>
    <n v="100"/>
    <n v="462"/>
    <n v="294"/>
    <n v="6"/>
    <d v="2024-07-30T00:00:00"/>
    <n v="168"/>
  </r>
  <r>
    <s v="P1021"/>
    <d v="2024-06-09T00:00:00"/>
    <x v="4"/>
    <s v="VIP"/>
    <d v="2024-10-06T00:00:00"/>
    <s v="Live Casino"/>
    <n v="100"/>
    <n v="0"/>
    <n v="767"/>
    <n v="58"/>
    <n v="3"/>
    <d v="2024-10-09T00:00:00"/>
    <n v="709"/>
  </r>
  <r>
    <s v="P1057"/>
    <d v="2024-04-09T00:00:00"/>
    <x v="0"/>
    <s v="Gold"/>
    <d v="2024-04-21T00:00:00"/>
    <s v="Slots"/>
    <n v="500"/>
    <n v="250"/>
    <n v="424"/>
    <n v="362"/>
    <n v="15"/>
    <d v="2024-05-02T00:00:00"/>
    <n v="62"/>
  </r>
  <r>
    <s v="P1067"/>
    <d v="2024-02-03T00:00:00"/>
    <x v="1"/>
    <s v="Gold"/>
    <d v="2024-02-07T00:00:00"/>
    <s v="Slots"/>
    <n v="500"/>
    <n v="100"/>
    <n v="119"/>
    <n v="69"/>
    <n v="15"/>
    <d v="2024-02-12T00:00:00"/>
    <n v="50"/>
  </r>
  <r>
    <s v="P1006"/>
    <d v="2024-06-06T00:00:00"/>
    <x v="0"/>
    <s v="Gold"/>
    <d v="2024-11-22T00:00:00"/>
    <s v="Live Casino"/>
    <n v="50"/>
    <n v="0"/>
    <n v="939"/>
    <n v="137"/>
    <n v="1.5"/>
    <d v="2024-12-16T00:00:00"/>
    <n v="802"/>
  </r>
  <r>
    <s v="P1090"/>
    <d v="2024-01-29T00:00:00"/>
    <x v="0"/>
    <s v="VIP"/>
    <d v="2024-04-02T00:00:00"/>
    <s v="Blackjack"/>
    <n v="200"/>
    <n v="100"/>
    <n v="534"/>
    <n v="137"/>
    <n v="6"/>
    <d v="2024-04-21T00:00:00"/>
    <n v="397"/>
  </r>
  <r>
    <s v="P1081"/>
    <d v="2024-01-19T00:00:00"/>
    <x v="1"/>
    <s v="Gold"/>
    <d v="2024-06-01T00:00:00"/>
    <s v="Live Casino"/>
    <n v="100"/>
    <n v="0"/>
    <n v="131"/>
    <n v="50"/>
    <n v="3"/>
    <d v="2024-06-22T00:00:00"/>
    <n v="81"/>
  </r>
  <r>
    <s v="P1023"/>
    <d v="2024-03-24T00:00:00"/>
    <x v="2"/>
    <s v="Gold"/>
    <d v="2024-05-01T00:00:00"/>
    <s v="Live Casino"/>
    <n v="50"/>
    <n v="25"/>
    <n v="94"/>
    <n v="76"/>
    <n v="1.5"/>
    <d v="2024-05-02T00:00:00"/>
    <n v="18"/>
  </r>
  <r>
    <s v="P1023"/>
    <d v="2024-04-16T00:00:00"/>
    <x v="4"/>
    <s v="Gold"/>
    <d v="2024-09-15T00:00:00"/>
    <s v="Slots"/>
    <n v="20"/>
    <n v="0"/>
    <n v="76"/>
    <n v="55"/>
    <n v="0.6"/>
    <d v="2024-10-04T00:00:00"/>
    <n v="21"/>
  </r>
  <r>
    <s v="P1024"/>
    <d v="2024-02-02T00:00:00"/>
    <x v="1"/>
    <s v="VIP"/>
    <d v="2024-03-05T00:00:00"/>
    <s v="Live Casino"/>
    <n v="50"/>
    <n v="25"/>
    <n v="672"/>
    <n v="637"/>
    <n v="1.5"/>
    <d v="2024-03-09T00:00:00"/>
    <n v="35"/>
  </r>
  <r>
    <s v="P1048"/>
    <d v="2024-04-13T00:00:00"/>
    <x v="1"/>
    <s v="VIP"/>
    <d v="2024-09-06T00:00:00"/>
    <s v="Live Casino"/>
    <n v="0"/>
    <n v="0"/>
    <n v="327"/>
    <n v="326"/>
    <n v="0"/>
    <d v="2024-09-24T00:00:00"/>
    <n v="1"/>
  </r>
  <r>
    <s v="P1039"/>
    <d v="2024-04-23T00:00:00"/>
    <x v="3"/>
    <s v="VIP"/>
    <d v="2024-08-04T00:00:00"/>
    <s v="Slots"/>
    <n v="50"/>
    <n v="25"/>
    <n v="224"/>
    <n v="61"/>
    <n v="1.5"/>
    <d v="2024-08-06T00:00:00"/>
    <n v="163"/>
  </r>
  <r>
    <s v="P1038"/>
    <d v="2024-02-11T00:00:00"/>
    <x v="0"/>
    <s v="Regular"/>
    <d v="2024-07-07T00:00:00"/>
    <s v="Live Casino"/>
    <n v="50"/>
    <n v="25"/>
    <n v="459"/>
    <n v="261"/>
    <n v="1.5"/>
    <d v="2024-07-10T00:00:00"/>
    <n v="198"/>
  </r>
  <r>
    <s v="P1053"/>
    <d v="2024-04-19T00:00:00"/>
    <x v="2"/>
    <s v="VIP"/>
    <d v="2024-06-11T00:00:00"/>
    <s v="Slots"/>
    <n v="500"/>
    <n v="0"/>
    <n v="805"/>
    <n v="165"/>
    <n v="15"/>
    <d v="2024-06-15T00:00:00"/>
    <n v="640"/>
  </r>
  <r>
    <s v="P1020"/>
    <d v="2024-01-11T00:00:00"/>
    <x v="4"/>
    <s v="Gold"/>
    <d v="2024-02-15T00:00:00"/>
    <s v="Roulette"/>
    <n v="500"/>
    <n v="100"/>
    <n v="259"/>
    <n v="32"/>
    <n v="15"/>
    <d v="2024-02-26T00:00:00"/>
    <n v="227"/>
  </r>
  <r>
    <s v="P1026"/>
    <d v="2024-05-29T00:00:00"/>
    <x v="2"/>
    <s v="Gold"/>
    <d v="2024-10-20T00:00:00"/>
    <s v="Slots"/>
    <n v="0"/>
    <n v="0"/>
    <n v="887"/>
    <n v="784"/>
    <n v="0"/>
    <d v="2024-11-13T00:00:00"/>
    <n v="103"/>
  </r>
  <r>
    <s v="P1087"/>
    <d v="2024-05-10T00:00:00"/>
    <x v="3"/>
    <s v="Gold"/>
    <d v="2024-10-01T00:00:00"/>
    <s v="Blackjack"/>
    <n v="200"/>
    <n v="0"/>
    <n v="934"/>
    <n v="575"/>
    <n v="6"/>
    <d v="2024-10-08T00:00:00"/>
    <n v="359"/>
  </r>
  <r>
    <s v="P1057"/>
    <d v="2024-01-25T00:00:00"/>
    <x v="3"/>
    <s v="Regular"/>
    <d v="2024-05-29T00:00:00"/>
    <s v="Slots"/>
    <n v="200"/>
    <n v="0"/>
    <n v="965"/>
    <n v="440"/>
    <n v="6"/>
    <d v="2024-06-04T00:00:00"/>
    <n v="525"/>
  </r>
  <r>
    <s v="P1038"/>
    <d v="2024-02-01T00:00:00"/>
    <x v="4"/>
    <s v="Gold"/>
    <d v="2024-05-22T00:00:00"/>
    <s v="Roulette"/>
    <n v="50"/>
    <n v="10"/>
    <n v="278"/>
    <n v="110"/>
    <n v="1.5"/>
    <d v="2024-06-21T00:00:00"/>
    <n v="168"/>
  </r>
  <r>
    <s v="P1079"/>
    <d v="2024-02-13T00:00:00"/>
    <x v="0"/>
    <s v="Gold"/>
    <d v="2024-07-14T00:00:00"/>
    <s v="Roulette"/>
    <n v="50"/>
    <n v="25"/>
    <n v="557"/>
    <n v="76"/>
    <n v="1.5"/>
    <d v="2024-08-02T00:00:00"/>
    <n v="481"/>
  </r>
  <r>
    <s v="P1019"/>
    <d v="2024-04-22T00:00:00"/>
    <x v="1"/>
    <s v="Regular"/>
    <d v="2024-06-15T00:00:00"/>
    <s v="Roulette"/>
    <n v="20"/>
    <n v="4"/>
    <n v="954"/>
    <n v="171"/>
    <n v="0.6"/>
    <d v="2024-06-25T00:00:00"/>
    <n v="783"/>
  </r>
  <r>
    <s v="P1095"/>
    <d v="2024-05-01T00:00:00"/>
    <x v="2"/>
    <s v="Regular"/>
    <d v="2024-07-29T00:00:00"/>
    <s v="Roulette"/>
    <n v="100"/>
    <n v="20"/>
    <n v="221"/>
    <n v="115"/>
    <n v="3"/>
    <d v="2024-08-26T00:00:00"/>
    <n v="106"/>
  </r>
  <r>
    <s v="P1033"/>
    <d v="2024-02-14T00:00:00"/>
    <x v="1"/>
    <s v="Gold"/>
    <d v="2024-03-12T00:00:00"/>
    <s v="Blackjack"/>
    <n v="20"/>
    <n v="10"/>
    <n v="634"/>
    <n v="129"/>
    <n v="0.6"/>
    <d v="2024-04-04T00:00:00"/>
    <n v="505"/>
  </r>
  <r>
    <s v="P1033"/>
    <d v="2024-03-08T00:00:00"/>
    <x v="4"/>
    <s v="Regular"/>
    <d v="2024-04-13T00:00:00"/>
    <s v="Roulette"/>
    <n v="200"/>
    <n v="100"/>
    <n v="342"/>
    <n v="285"/>
    <n v="6"/>
    <d v="2024-04-17T00:00:00"/>
    <n v="57"/>
  </r>
  <r>
    <s v="P1013"/>
    <d v="2024-03-16T00:00:00"/>
    <x v="2"/>
    <s v="Gold"/>
    <d v="2024-05-20T00:00:00"/>
    <s v="Roulette"/>
    <n v="500"/>
    <n v="250"/>
    <n v="698"/>
    <n v="493"/>
    <n v="15"/>
    <d v="2024-05-29T00:00:00"/>
    <n v="205"/>
  </r>
  <r>
    <s v="P1079"/>
    <d v="2024-01-11T00:00:00"/>
    <x v="2"/>
    <s v="Gold"/>
    <d v="2024-04-09T00:00:00"/>
    <s v="Live Casino"/>
    <n v="500"/>
    <n v="100"/>
    <n v="290"/>
    <n v="252"/>
    <n v="15"/>
    <d v="2024-04-23T00:00:00"/>
    <n v="38"/>
  </r>
  <r>
    <s v="P1012"/>
    <d v="2024-06-22T00:00:00"/>
    <x v="4"/>
    <s v="Regular"/>
    <d v="2024-08-31T00:00:00"/>
    <s v="Live Casino"/>
    <n v="50"/>
    <n v="25"/>
    <n v="480"/>
    <n v="211"/>
    <n v="1.5"/>
    <d v="2024-09-06T00:00:00"/>
    <n v="269"/>
  </r>
  <r>
    <s v="P1012"/>
    <d v="2024-04-26T00:00:00"/>
    <x v="3"/>
    <s v="Gold"/>
    <d v="2024-08-21T00:00:00"/>
    <s v="Live Casino"/>
    <n v="20"/>
    <n v="0"/>
    <n v="828"/>
    <n v="144"/>
    <n v="0.6"/>
    <d v="2024-09-02T00:00:00"/>
    <n v="684"/>
  </r>
  <r>
    <s v="P1093"/>
    <d v="2024-04-17T00:00:00"/>
    <x v="3"/>
    <s v="Gold"/>
    <d v="2024-08-23T00:00:00"/>
    <s v="Slots"/>
    <n v="50"/>
    <n v="10"/>
    <n v="654"/>
    <n v="515"/>
    <n v="1.5"/>
    <d v="2024-09-12T00:00:00"/>
    <n v="139"/>
  </r>
  <r>
    <s v="P1035"/>
    <d v="2024-04-16T00:00:00"/>
    <x v="3"/>
    <s v="VIP"/>
    <d v="2024-09-11T00:00:00"/>
    <s v="Blackjack"/>
    <n v="100"/>
    <n v="0"/>
    <n v="30"/>
    <n v="26"/>
    <n v="3"/>
    <d v="2024-09-13T00:00:00"/>
    <n v="4"/>
  </r>
  <r>
    <s v="P1032"/>
    <d v="2024-04-25T00:00:00"/>
    <x v="1"/>
    <s v="VIP"/>
    <d v="2024-10-14T00:00:00"/>
    <s v="Slots"/>
    <n v="100"/>
    <n v="50"/>
    <n v="604"/>
    <n v="218"/>
    <n v="3"/>
    <d v="2024-10-22T00:00:00"/>
    <n v="386"/>
  </r>
  <r>
    <s v="P1047"/>
    <d v="2024-01-12T00:00:00"/>
    <x v="3"/>
    <s v="Gold"/>
    <d v="2024-03-08T00:00:00"/>
    <s v="Blackjack"/>
    <n v="200"/>
    <n v="0"/>
    <n v="377"/>
    <n v="311"/>
    <n v="6"/>
    <d v="2024-03-20T00:00:00"/>
    <n v="66"/>
  </r>
  <r>
    <s v="P1020"/>
    <d v="2024-06-17T00:00:00"/>
    <x v="1"/>
    <s v="VIP"/>
    <d v="2024-07-17T00:00:00"/>
    <s v="Slots"/>
    <n v="100"/>
    <n v="50"/>
    <n v="268"/>
    <n v="44"/>
    <n v="3"/>
    <d v="2024-07-18T00:00:00"/>
    <n v="224"/>
  </r>
  <r>
    <s v="P1066"/>
    <d v="2024-05-28T00:00:00"/>
    <x v="0"/>
    <s v="VIP"/>
    <d v="2024-07-08T00:00:00"/>
    <s v="Roulette"/>
    <n v="20"/>
    <n v="4"/>
    <n v="996"/>
    <n v="214"/>
    <n v="0.6"/>
    <d v="2024-07-09T00:00:00"/>
    <n v="782"/>
  </r>
  <r>
    <s v="P1024"/>
    <d v="2024-03-29T00:00:00"/>
    <x v="1"/>
    <s v="Gold"/>
    <d v="2024-09-07T00:00:00"/>
    <s v="Live Casino"/>
    <n v="100"/>
    <n v="50"/>
    <n v="185"/>
    <n v="5"/>
    <n v="3"/>
    <d v="2024-09-19T00:00:00"/>
    <n v="180"/>
  </r>
  <r>
    <s v="P1019"/>
    <d v="2024-02-20T00:00:00"/>
    <x v="1"/>
    <s v="Gold"/>
    <d v="2024-05-06T00:00:00"/>
    <s v="Blackjack"/>
    <n v="200"/>
    <n v="100"/>
    <n v="147"/>
    <n v="43"/>
    <n v="6"/>
    <d v="2024-05-23T00:00:00"/>
    <n v="104"/>
  </r>
  <r>
    <s v="P1064"/>
    <d v="2024-03-27T00:00:00"/>
    <x v="3"/>
    <s v="Regular"/>
    <d v="2024-06-13T00:00:00"/>
    <s v="Slots"/>
    <n v="20"/>
    <n v="0"/>
    <n v="569"/>
    <n v="264"/>
    <n v="0.6"/>
    <d v="2024-06-13T00:00:00"/>
    <n v="305"/>
  </r>
  <r>
    <s v="P1066"/>
    <d v="2024-04-19T00:00:00"/>
    <x v="0"/>
    <s v="Gold"/>
    <d v="2024-07-08T00:00:00"/>
    <s v="Slots"/>
    <n v="20"/>
    <n v="4"/>
    <n v="755"/>
    <n v="73"/>
    <n v="0.6"/>
    <d v="2024-08-07T00:00:00"/>
    <n v="682"/>
  </r>
  <r>
    <s v="P1082"/>
    <d v="2024-04-07T00:00:00"/>
    <x v="1"/>
    <s v="VIP"/>
    <d v="2024-06-28T00:00:00"/>
    <s v="Roulette"/>
    <n v="0"/>
    <n v="0"/>
    <n v="987"/>
    <n v="956"/>
    <n v="0"/>
    <d v="2024-07-10T00:00:00"/>
    <n v="31"/>
  </r>
  <r>
    <s v="P1042"/>
    <d v="2024-01-18T00:00:00"/>
    <x v="3"/>
    <s v="Gold"/>
    <d v="2024-01-23T00:00:00"/>
    <s v="Live Casino"/>
    <n v="500"/>
    <n v="250"/>
    <n v="549"/>
    <n v="447"/>
    <n v="15"/>
    <d v="2024-01-25T00:00:00"/>
    <n v="102"/>
  </r>
  <r>
    <s v="P1092"/>
    <d v="2024-06-10T00:00:00"/>
    <x v="2"/>
    <s v="VIP"/>
    <d v="2024-09-23T00:00:00"/>
    <s v="Live Casino"/>
    <n v="500"/>
    <n v="100"/>
    <n v="818"/>
    <n v="501"/>
    <n v="15"/>
    <d v="2024-10-11T00:00:00"/>
    <n v="317"/>
  </r>
  <r>
    <s v="P1008"/>
    <d v="2024-02-18T00:00:00"/>
    <x v="4"/>
    <s v="VIP"/>
    <d v="2024-07-04T00:00:00"/>
    <s v="Slots"/>
    <n v="20"/>
    <n v="4"/>
    <n v="896"/>
    <n v="778"/>
    <n v="0.6"/>
    <d v="2024-07-22T00:00:00"/>
    <n v="118"/>
  </r>
  <r>
    <s v="P1035"/>
    <d v="2024-06-07T00:00:00"/>
    <x v="1"/>
    <s v="Regular"/>
    <d v="2024-09-13T00:00:00"/>
    <s v="Slots"/>
    <n v="0"/>
    <n v="0"/>
    <n v="266"/>
    <n v="135"/>
    <n v="0"/>
    <d v="2024-09-18T00:00:00"/>
    <n v="131"/>
  </r>
  <r>
    <s v="P1006"/>
    <d v="2024-05-15T00:00:00"/>
    <x v="2"/>
    <s v="Gold"/>
    <d v="2024-10-06T00:00:00"/>
    <s v="Roulette"/>
    <n v="0"/>
    <n v="0"/>
    <n v="625"/>
    <n v="535"/>
    <n v="0"/>
    <d v="2024-10-08T00:00:00"/>
    <n v="90"/>
  </r>
  <r>
    <s v="P1061"/>
    <d v="2024-02-15T00:00:00"/>
    <x v="2"/>
    <s v="VIP"/>
    <d v="2024-07-31T00:00:00"/>
    <s v="Live Casino"/>
    <n v="20"/>
    <n v="10"/>
    <n v="623"/>
    <n v="34"/>
    <n v="0.6"/>
    <d v="2024-08-28T00:00:00"/>
    <n v="589"/>
  </r>
  <r>
    <s v="P1076"/>
    <d v="2024-04-20T00:00:00"/>
    <x v="2"/>
    <s v="Gold"/>
    <d v="2024-08-15T00:00:00"/>
    <s v="Live Casino"/>
    <n v="200"/>
    <n v="0"/>
    <n v="470"/>
    <n v="241"/>
    <n v="6"/>
    <d v="2024-08-26T00:00:00"/>
    <n v="229"/>
  </r>
  <r>
    <s v="P1058"/>
    <d v="2024-04-25T00:00:00"/>
    <x v="0"/>
    <s v="VIP"/>
    <d v="2024-08-13T00:00:00"/>
    <s v="Slots"/>
    <n v="0"/>
    <n v="0"/>
    <n v="608"/>
    <n v="284"/>
    <n v="0"/>
    <d v="2024-08-14T00:00:00"/>
    <n v="324"/>
  </r>
  <r>
    <s v="P1068"/>
    <d v="2024-04-03T00:00:00"/>
    <x v="4"/>
    <s v="Regular"/>
    <d v="2024-04-17T00:00:00"/>
    <s v="Slots"/>
    <n v="500"/>
    <n v="250"/>
    <n v="819"/>
    <n v="235"/>
    <n v="15"/>
    <d v="2024-04-18T00:00:00"/>
    <n v="584"/>
  </r>
  <r>
    <s v="P1010"/>
    <d v="2024-04-01T00:00:00"/>
    <x v="1"/>
    <s v="Gold"/>
    <d v="2024-08-27T00:00:00"/>
    <s v="Blackjack"/>
    <n v="0"/>
    <n v="0"/>
    <n v="62"/>
    <n v="4"/>
    <n v="0"/>
    <d v="2024-09-14T00:00:00"/>
    <n v="58"/>
  </r>
  <r>
    <s v="P1065"/>
    <d v="2024-03-28T00:00:00"/>
    <x v="2"/>
    <s v="VIP"/>
    <d v="2024-09-16T00:00:00"/>
    <s v="Live Casino"/>
    <n v="200"/>
    <n v="40"/>
    <n v="967"/>
    <n v="228"/>
    <n v="6"/>
    <d v="2024-09-21T00:00:00"/>
    <n v="739"/>
  </r>
  <r>
    <s v="P1066"/>
    <d v="2024-04-02T00:00:00"/>
    <x v="2"/>
    <s v="Gold"/>
    <d v="2024-09-05T00:00:00"/>
    <s v="Blackjack"/>
    <n v="100"/>
    <n v="0"/>
    <n v="148"/>
    <n v="110"/>
    <n v="3"/>
    <d v="2024-10-04T00:00:00"/>
    <n v="38"/>
  </r>
  <r>
    <s v="P1018"/>
    <d v="2024-04-28T00:00:00"/>
    <x v="3"/>
    <s v="Gold"/>
    <d v="2024-09-09T00:00:00"/>
    <s v="Slots"/>
    <n v="200"/>
    <n v="40"/>
    <n v="146"/>
    <n v="55"/>
    <n v="6"/>
    <d v="2024-10-07T00:00:00"/>
    <n v="91"/>
  </r>
  <r>
    <s v="P1065"/>
    <d v="2024-02-15T00:00:00"/>
    <x v="2"/>
    <s v="Regular"/>
    <d v="2024-04-18T00:00:00"/>
    <s v="Slots"/>
    <n v="0"/>
    <n v="0"/>
    <n v="286"/>
    <n v="8"/>
    <n v="0"/>
    <d v="2024-05-17T00:00:00"/>
    <n v="278"/>
  </r>
  <r>
    <s v="P1036"/>
    <d v="2024-06-29T00:00:00"/>
    <x v="0"/>
    <s v="Gold"/>
    <d v="2024-07-10T00:00:00"/>
    <s v="Live Casino"/>
    <n v="50"/>
    <n v="10"/>
    <n v="843"/>
    <n v="653"/>
    <n v="1.5"/>
    <d v="2024-08-05T00:00:00"/>
    <n v="190"/>
  </r>
  <r>
    <s v="P1099"/>
    <d v="2024-04-27T00:00:00"/>
    <x v="4"/>
    <s v="VIP"/>
    <d v="2024-06-30T00:00:00"/>
    <s v="Live Casino"/>
    <n v="0"/>
    <n v="0"/>
    <n v="497"/>
    <n v="425"/>
    <n v="0"/>
    <d v="2024-07-21T00:00:00"/>
    <n v="72"/>
  </r>
  <r>
    <s v="P1028"/>
    <d v="2024-02-29T00:00:00"/>
    <x v="0"/>
    <s v="VIP"/>
    <d v="2024-07-16T00:00:00"/>
    <s v="Live Casino"/>
    <n v="20"/>
    <n v="4"/>
    <n v="247"/>
    <n v="142"/>
    <n v="0.6"/>
    <d v="2024-08-10T00:00:00"/>
    <n v="105"/>
  </r>
  <r>
    <s v="P1067"/>
    <d v="2024-05-29T00:00:00"/>
    <x v="3"/>
    <s v="Regular"/>
    <d v="2024-07-20T00:00:00"/>
    <s v="Roulette"/>
    <n v="200"/>
    <n v="40"/>
    <n v="134"/>
    <n v="18"/>
    <n v="6"/>
    <d v="2024-08-01T00:00:00"/>
    <n v="116"/>
  </r>
  <r>
    <s v="P1064"/>
    <d v="2024-01-03T00:00:00"/>
    <x v="4"/>
    <s v="Regular"/>
    <d v="2024-03-17T00:00:00"/>
    <s v="Blackjack"/>
    <n v="500"/>
    <n v="250"/>
    <n v="477"/>
    <n v="65"/>
    <n v="15"/>
    <d v="2024-03-29T00:00:00"/>
    <n v="412"/>
  </r>
  <r>
    <s v="P1013"/>
    <d v="2024-01-18T00:00:00"/>
    <x v="4"/>
    <s v="Regular"/>
    <d v="2024-02-24T00:00:00"/>
    <s v="Blackjack"/>
    <n v="500"/>
    <n v="250"/>
    <n v="713"/>
    <n v="117"/>
    <n v="15"/>
    <d v="2024-03-24T00:00:00"/>
    <n v="596"/>
  </r>
  <r>
    <s v="P1094"/>
    <d v="2024-03-17T00:00:00"/>
    <x v="3"/>
    <s v="VIP"/>
    <d v="2024-07-03T00:00:00"/>
    <s v="Blackjack"/>
    <n v="0"/>
    <n v="0"/>
    <n v="281"/>
    <n v="45"/>
    <n v="0"/>
    <d v="2024-07-29T00:00:00"/>
    <n v="236"/>
  </r>
  <r>
    <s v="P1074"/>
    <d v="2024-03-28T00:00:00"/>
    <x v="4"/>
    <s v="Gold"/>
    <d v="2024-04-04T00:00:00"/>
    <s v="Blackjack"/>
    <n v="50"/>
    <n v="25"/>
    <n v="630"/>
    <n v="370"/>
    <n v="1.5"/>
    <d v="2024-04-20T00:00:00"/>
    <n v="260"/>
  </r>
  <r>
    <s v="P1053"/>
    <d v="2024-06-05T00:00:00"/>
    <x v="4"/>
    <s v="Regular"/>
    <d v="2024-07-24T00:00:00"/>
    <s v="Roulette"/>
    <n v="100"/>
    <n v="50"/>
    <n v="701"/>
    <n v="44"/>
    <n v="3"/>
    <d v="2024-08-11T00:00:00"/>
    <n v="657"/>
  </r>
  <r>
    <s v="P1092"/>
    <d v="2024-06-23T00:00:00"/>
    <x v="4"/>
    <s v="VIP"/>
    <d v="2024-09-23T00:00:00"/>
    <s v="Blackjack"/>
    <n v="0"/>
    <n v="0"/>
    <n v="794"/>
    <n v="25"/>
    <n v="0"/>
    <d v="2024-10-17T00:00:00"/>
    <n v="769"/>
  </r>
  <r>
    <s v="P1023"/>
    <d v="2024-05-09T00:00:00"/>
    <x v="1"/>
    <s v="Gold"/>
    <d v="2024-05-11T00:00:00"/>
    <s v="Blackjack"/>
    <n v="20"/>
    <n v="4"/>
    <n v="773"/>
    <n v="80"/>
    <n v="0.6"/>
    <d v="2024-05-30T00:00:00"/>
    <n v="693"/>
  </r>
  <r>
    <s v="P1066"/>
    <d v="2024-04-10T00:00:00"/>
    <x v="0"/>
    <s v="Gold"/>
    <d v="2024-08-16T00:00:00"/>
    <s v="Roulette"/>
    <n v="0"/>
    <n v="0"/>
    <n v="331"/>
    <n v="61"/>
    <n v="0"/>
    <d v="2024-09-14T00:00:00"/>
    <n v="270"/>
  </r>
  <r>
    <s v="P1071"/>
    <d v="2024-06-17T00:00:00"/>
    <x v="2"/>
    <s v="Regular"/>
    <d v="2024-06-25T00:00:00"/>
    <s v="Slots"/>
    <n v="100"/>
    <n v="50"/>
    <n v="716"/>
    <n v="611"/>
    <n v="3"/>
    <d v="2024-07-11T00:00:00"/>
    <n v="105"/>
  </r>
  <r>
    <s v="P1010"/>
    <d v="2024-05-05T00:00:00"/>
    <x v="0"/>
    <s v="Gold"/>
    <d v="2024-05-08T00:00:00"/>
    <s v="Roulette"/>
    <n v="20"/>
    <n v="4"/>
    <n v="488"/>
    <n v="389"/>
    <n v="0.6"/>
    <d v="2024-05-16T00:00:00"/>
    <n v="99"/>
  </r>
  <r>
    <s v="P1034"/>
    <d v="2024-01-12T00:00:00"/>
    <x v="3"/>
    <s v="Regular"/>
    <d v="2024-02-07T00:00:00"/>
    <s v="Slots"/>
    <n v="500"/>
    <n v="0"/>
    <n v="519"/>
    <n v="0"/>
    <n v="15"/>
    <d v="2024-02-08T00:00:00"/>
    <n v="519"/>
  </r>
  <r>
    <s v="P1100"/>
    <d v="2024-02-07T00:00:00"/>
    <x v="3"/>
    <s v="Regular"/>
    <d v="2024-07-10T00:00:00"/>
    <s v="Slots"/>
    <n v="50"/>
    <n v="25"/>
    <n v="614"/>
    <n v="276"/>
    <n v="1.5"/>
    <d v="2024-07-12T00:00:00"/>
    <n v="338"/>
  </r>
  <r>
    <s v="P1035"/>
    <d v="2024-06-15T00:00:00"/>
    <x v="1"/>
    <s v="Gold"/>
    <d v="2024-12-06T00:00:00"/>
    <s v="Roulette"/>
    <n v="0"/>
    <n v="0"/>
    <n v="866"/>
    <n v="5"/>
    <n v="0"/>
    <d v="2024-12-20T00:00:00"/>
    <n v="861"/>
  </r>
  <r>
    <s v="P1059"/>
    <d v="2024-02-09T00:00:00"/>
    <x v="1"/>
    <s v="VIP"/>
    <d v="2024-05-24T00:00:00"/>
    <s v="Blackjack"/>
    <n v="100"/>
    <n v="20"/>
    <n v="470"/>
    <n v="124"/>
    <n v="3"/>
    <d v="2024-06-01T00:00:00"/>
    <n v="346"/>
  </r>
  <r>
    <s v="P1033"/>
    <d v="2024-02-10T00:00:00"/>
    <x v="4"/>
    <s v="VIP"/>
    <d v="2024-05-11T00:00:00"/>
    <s v="Roulette"/>
    <n v="200"/>
    <n v="100"/>
    <n v="234"/>
    <n v="0"/>
    <n v="6"/>
    <d v="2024-06-03T00:00:00"/>
    <n v="234"/>
  </r>
  <r>
    <s v="P1041"/>
    <d v="2024-04-28T00:00:00"/>
    <x v="4"/>
    <s v="Gold"/>
    <d v="2024-08-18T00:00:00"/>
    <s v="Blackjack"/>
    <n v="500"/>
    <n v="100"/>
    <n v="406"/>
    <n v="120"/>
    <n v="15"/>
    <d v="2024-08-24T00:00:00"/>
    <n v="286"/>
  </r>
  <r>
    <s v="P1013"/>
    <d v="2024-05-18T00:00:00"/>
    <x v="4"/>
    <s v="Gold"/>
    <d v="2024-07-05T00:00:00"/>
    <s v="Live Casino"/>
    <n v="0"/>
    <n v="0"/>
    <n v="657"/>
    <n v="23"/>
    <n v="0"/>
    <d v="2024-07-12T00:00:00"/>
    <n v="634"/>
  </r>
  <r>
    <s v="P1004"/>
    <d v="2024-06-29T00:00:00"/>
    <x v="0"/>
    <s v="VIP"/>
    <d v="2024-07-30T00:00:00"/>
    <s v="Blackjack"/>
    <n v="500"/>
    <n v="0"/>
    <n v="771"/>
    <n v="196"/>
    <n v="15"/>
    <d v="2024-08-20T00:00:00"/>
    <n v="575"/>
  </r>
  <r>
    <s v="P1093"/>
    <d v="2024-04-06T00:00:00"/>
    <x v="2"/>
    <s v="Regular"/>
    <d v="2024-05-30T00:00:00"/>
    <s v="Blackjack"/>
    <n v="200"/>
    <n v="40"/>
    <n v="659"/>
    <n v="601"/>
    <n v="6"/>
    <d v="2024-06-15T00:00:00"/>
    <n v="58"/>
  </r>
  <r>
    <s v="P1007"/>
    <d v="2024-01-30T00:00:00"/>
    <x v="1"/>
    <s v="Gold"/>
    <d v="2024-06-01T00:00:00"/>
    <s v="Roulette"/>
    <n v="50"/>
    <n v="0"/>
    <n v="879"/>
    <n v="468"/>
    <n v="1.5"/>
    <d v="2024-06-12T00:00:00"/>
    <n v="411"/>
  </r>
  <r>
    <s v="P1089"/>
    <d v="2024-03-04T00:00:00"/>
    <x v="4"/>
    <s v="Gold"/>
    <d v="2024-05-30T00:00:00"/>
    <s v="Blackjack"/>
    <n v="500"/>
    <n v="0"/>
    <n v="40"/>
    <n v="11"/>
    <n v="15"/>
    <d v="2024-06-24T00:00:00"/>
    <n v="29"/>
  </r>
  <r>
    <s v="P1010"/>
    <d v="2024-02-14T00:00:00"/>
    <x v="4"/>
    <s v="VIP"/>
    <d v="2024-08-10T00:00:00"/>
    <s v="Roulette"/>
    <n v="50"/>
    <n v="0"/>
    <n v="698"/>
    <n v="44"/>
    <n v="1.5"/>
    <d v="2024-09-09T00:00:00"/>
    <n v="654"/>
  </r>
  <r>
    <s v="P1024"/>
    <d v="2024-05-10T00:00:00"/>
    <x v="1"/>
    <s v="Regular"/>
    <d v="2024-07-28T00:00:00"/>
    <s v="Slots"/>
    <n v="50"/>
    <n v="0"/>
    <n v="166"/>
    <n v="156"/>
    <n v="1.5"/>
    <d v="2024-08-10T00:00:00"/>
    <n v="10"/>
  </r>
  <r>
    <s v="P1041"/>
    <d v="2024-02-28T00:00:00"/>
    <x v="3"/>
    <s v="Gold"/>
    <d v="2024-03-13T00:00:00"/>
    <s v="Slots"/>
    <n v="500"/>
    <n v="250"/>
    <n v="287"/>
    <n v="204"/>
    <n v="15"/>
    <d v="2024-04-03T00:00:00"/>
    <n v="83"/>
  </r>
  <r>
    <s v="P1063"/>
    <d v="2024-04-05T00:00:00"/>
    <x v="3"/>
    <s v="Gold"/>
    <d v="2024-04-12T00:00:00"/>
    <s v="Slots"/>
    <n v="50"/>
    <n v="10"/>
    <n v="416"/>
    <n v="165"/>
    <n v="1.5"/>
    <d v="2024-04-20T00:00:00"/>
    <n v="251"/>
  </r>
  <r>
    <s v="P1073"/>
    <d v="2024-01-14T00:00:00"/>
    <x v="1"/>
    <s v="Regular"/>
    <d v="2024-01-31T00:00:00"/>
    <s v="Live Casino"/>
    <n v="500"/>
    <n v="0"/>
    <n v="458"/>
    <n v="112"/>
    <n v="15"/>
    <d v="2024-02-05T00:00:00"/>
    <n v="346"/>
  </r>
  <r>
    <s v="P1065"/>
    <d v="2024-03-23T00:00:00"/>
    <x v="2"/>
    <s v="Gold"/>
    <d v="2024-07-06T00:00:00"/>
    <s v="Live Casino"/>
    <n v="100"/>
    <n v="20"/>
    <n v="209"/>
    <n v="50"/>
    <n v="3"/>
    <d v="2024-07-17T00:00:00"/>
    <n v="159"/>
  </r>
  <r>
    <s v="P1019"/>
    <d v="2024-04-18T00:00:00"/>
    <x v="3"/>
    <s v="Gold"/>
    <d v="2024-09-27T00:00:00"/>
    <s v="Slots"/>
    <n v="0"/>
    <n v="0"/>
    <n v="614"/>
    <n v="155"/>
    <n v="0"/>
    <d v="2024-10-16T00:00:00"/>
    <n v="459"/>
  </r>
  <r>
    <s v="P1044"/>
    <d v="2024-03-09T00:00:00"/>
    <x v="0"/>
    <s v="VIP"/>
    <d v="2024-08-26T00:00:00"/>
    <s v="Live Casino"/>
    <n v="200"/>
    <n v="0"/>
    <n v="230"/>
    <n v="135"/>
    <n v="6"/>
    <d v="2024-09-04T00:00:00"/>
    <n v="95"/>
  </r>
  <r>
    <s v="P1043"/>
    <d v="2024-05-23T00:00:00"/>
    <x v="4"/>
    <s v="VIP"/>
    <d v="2024-09-26T00:00:00"/>
    <s v="Blackjack"/>
    <n v="50"/>
    <n v="10"/>
    <n v="857"/>
    <n v="139"/>
    <n v="1.5"/>
    <d v="2024-10-12T00:00:00"/>
    <n v="718"/>
  </r>
  <r>
    <s v="P1098"/>
    <d v="2024-04-25T00:00:00"/>
    <x v="0"/>
    <s v="Regular"/>
    <d v="2024-04-28T00:00:00"/>
    <s v="Slots"/>
    <n v="200"/>
    <n v="40"/>
    <n v="631"/>
    <n v="261"/>
    <n v="6"/>
    <d v="2024-05-19T00:00:00"/>
    <n v="370"/>
  </r>
  <r>
    <s v="P1013"/>
    <d v="2024-02-15T00:00:00"/>
    <x v="0"/>
    <s v="VIP"/>
    <d v="2024-05-31T00:00:00"/>
    <s v="Slots"/>
    <n v="50"/>
    <n v="10"/>
    <n v="874"/>
    <n v="749"/>
    <n v="1.5"/>
    <d v="2024-06-24T00:00:00"/>
    <n v="125"/>
  </r>
  <r>
    <s v="P1091"/>
    <d v="2024-06-14T00:00:00"/>
    <x v="4"/>
    <s v="Gold"/>
    <d v="2024-12-01T00:00:00"/>
    <s v="Blackjack"/>
    <n v="200"/>
    <n v="100"/>
    <n v="70"/>
    <n v="47"/>
    <n v="6"/>
    <d v="2024-12-23T00:00:00"/>
    <n v="23"/>
  </r>
  <r>
    <s v="P1049"/>
    <d v="2024-02-05T00:00:00"/>
    <x v="4"/>
    <s v="Regular"/>
    <d v="2024-03-30T00:00:00"/>
    <s v="Slots"/>
    <n v="50"/>
    <n v="25"/>
    <n v="834"/>
    <n v="495"/>
    <n v="1.5"/>
    <d v="2024-04-20T00:00:00"/>
    <n v="339"/>
  </r>
  <r>
    <s v="P1094"/>
    <d v="2024-05-04T00:00:00"/>
    <x v="2"/>
    <s v="Gold"/>
    <d v="2024-05-04T00:00:00"/>
    <s v="Slots"/>
    <n v="200"/>
    <n v="100"/>
    <n v="91"/>
    <n v="22"/>
    <n v="6"/>
    <d v="2024-05-25T00:00:00"/>
    <n v="69"/>
  </r>
  <r>
    <s v="P1003"/>
    <d v="2024-04-22T00:00:00"/>
    <x v="2"/>
    <s v="Regular"/>
    <d v="2024-07-16T00:00:00"/>
    <s v="Blackjack"/>
    <n v="20"/>
    <n v="0"/>
    <n v="523"/>
    <n v="119"/>
    <n v="0.6"/>
    <d v="2024-08-06T00:00:00"/>
    <n v="404"/>
  </r>
  <r>
    <s v="P1077"/>
    <d v="2024-03-18T00:00:00"/>
    <x v="4"/>
    <s v="Gold"/>
    <d v="2024-05-24T00:00:00"/>
    <s v="Roulette"/>
    <n v="100"/>
    <n v="0"/>
    <n v="394"/>
    <n v="268"/>
    <n v="3"/>
    <d v="2024-06-01T00:00:00"/>
    <n v="126"/>
  </r>
  <r>
    <s v="P1054"/>
    <d v="2024-05-06T00:00:00"/>
    <x v="0"/>
    <s v="Gold"/>
    <d v="2024-07-14T00:00:00"/>
    <s v="Live Casino"/>
    <n v="0"/>
    <n v="0"/>
    <n v="315"/>
    <n v="94"/>
    <n v="0"/>
    <d v="2024-07-19T00:00:00"/>
    <n v="221"/>
  </r>
  <r>
    <s v="P1020"/>
    <d v="2024-05-23T00:00:00"/>
    <x v="0"/>
    <s v="VIP"/>
    <d v="2024-08-11T00:00:00"/>
    <s v="Live Casino"/>
    <n v="500"/>
    <n v="0"/>
    <n v="454"/>
    <n v="91"/>
    <n v="15"/>
    <d v="2024-08-18T00:00:00"/>
    <n v="363"/>
  </r>
  <r>
    <s v="P1034"/>
    <d v="2024-05-07T00:00:00"/>
    <x v="1"/>
    <s v="Regular"/>
    <d v="2024-10-16T00:00:00"/>
    <s v="Slots"/>
    <n v="20"/>
    <n v="0"/>
    <n v="740"/>
    <n v="330"/>
    <n v="0.6"/>
    <d v="2024-11-01T00:00:00"/>
    <n v="410"/>
  </r>
  <r>
    <s v="P1052"/>
    <d v="2024-04-15T00:00:00"/>
    <x v="0"/>
    <s v="Regular"/>
    <d v="2024-04-23T00:00:00"/>
    <s v="Slots"/>
    <n v="500"/>
    <n v="100"/>
    <n v="380"/>
    <n v="147"/>
    <n v="15"/>
    <d v="2024-05-05T00:00:00"/>
    <n v="233"/>
  </r>
  <r>
    <s v="P1085"/>
    <d v="2024-04-26T00:00:00"/>
    <x v="3"/>
    <s v="Gold"/>
    <d v="2024-06-05T00:00:00"/>
    <s v="Roulette"/>
    <n v="200"/>
    <n v="0"/>
    <n v="533"/>
    <n v="469"/>
    <n v="6"/>
    <d v="2024-06-25T00:00:00"/>
    <n v="64"/>
  </r>
  <r>
    <s v="P1098"/>
    <d v="2024-05-30T00:00:00"/>
    <x v="3"/>
    <s v="Regular"/>
    <d v="2024-07-21T00:00:00"/>
    <s v="Blackjack"/>
    <n v="500"/>
    <n v="100"/>
    <n v="584"/>
    <n v="0"/>
    <n v="15"/>
    <d v="2024-08-16T00:00:00"/>
    <n v="584"/>
  </r>
  <r>
    <s v="P1096"/>
    <d v="2024-03-22T00:00:00"/>
    <x v="0"/>
    <s v="Gold"/>
    <d v="2024-07-07T00:00:00"/>
    <s v="Roulette"/>
    <n v="50"/>
    <n v="0"/>
    <n v="157"/>
    <n v="1"/>
    <n v="1.5"/>
    <d v="2024-07-31T00:00:00"/>
    <n v="156"/>
  </r>
  <r>
    <s v="P1028"/>
    <d v="2024-02-04T00:00:00"/>
    <x v="2"/>
    <s v="Gold"/>
    <d v="2024-03-09T00:00:00"/>
    <s v="Blackjack"/>
    <n v="20"/>
    <n v="10"/>
    <n v="628"/>
    <n v="250"/>
    <n v="0.6"/>
    <d v="2024-03-25T00:00:00"/>
    <n v="378"/>
  </r>
  <r>
    <s v="P1083"/>
    <d v="2024-02-01T00:00:00"/>
    <x v="3"/>
    <s v="Gold"/>
    <d v="2024-06-29T00:00:00"/>
    <s v="Live Casino"/>
    <n v="0"/>
    <n v="0"/>
    <n v="188"/>
    <n v="26"/>
    <n v="0"/>
    <d v="2024-07-21T00:00:00"/>
    <n v="162"/>
  </r>
  <r>
    <s v="P1005"/>
    <d v="2024-06-17T00:00:00"/>
    <x v="3"/>
    <s v="VIP"/>
    <d v="2024-06-24T00:00:00"/>
    <s v="Blackjack"/>
    <n v="500"/>
    <n v="100"/>
    <n v="769"/>
    <n v="467"/>
    <n v="15"/>
    <d v="2024-06-24T00:00:00"/>
    <n v="302"/>
  </r>
  <r>
    <s v="P1046"/>
    <d v="2024-02-17T00:00:00"/>
    <x v="0"/>
    <s v="Regular"/>
    <d v="2024-02-17T00:00:00"/>
    <s v="Live Casino"/>
    <n v="0"/>
    <n v="0"/>
    <n v="786"/>
    <n v="310"/>
    <n v="0"/>
    <d v="2024-03-16T00:00:00"/>
    <n v="476"/>
  </r>
  <r>
    <s v="P1076"/>
    <d v="2024-03-31T00:00:00"/>
    <x v="3"/>
    <s v="VIP"/>
    <d v="2024-04-07T00:00:00"/>
    <s v="Slots"/>
    <n v="500"/>
    <n v="0"/>
    <n v="489"/>
    <n v="313"/>
    <n v="15"/>
    <d v="2024-05-01T00:00:00"/>
    <n v="176"/>
  </r>
  <r>
    <s v="P1092"/>
    <d v="2024-01-03T00:00:00"/>
    <x v="4"/>
    <s v="VIP"/>
    <d v="2024-01-22T00:00:00"/>
    <s v="Blackjack"/>
    <n v="500"/>
    <n v="0"/>
    <n v="791"/>
    <n v="526"/>
    <n v="15"/>
    <d v="2024-02-13T00:00:00"/>
    <n v="265"/>
  </r>
  <r>
    <s v="P1093"/>
    <d v="2024-06-01T00:00:00"/>
    <x v="4"/>
    <s v="Gold"/>
    <d v="2024-10-10T00:00:00"/>
    <s v="Blackjack"/>
    <n v="0"/>
    <n v="0"/>
    <n v="516"/>
    <n v="200"/>
    <n v="0"/>
    <d v="2024-10-13T00:00:00"/>
    <n v="316"/>
  </r>
  <r>
    <s v="P1072"/>
    <d v="2024-05-28T00:00:00"/>
    <x v="0"/>
    <s v="Regular"/>
    <d v="2024-07-07T00:00:00"/>
    <s v="Blackjack"/>
    <n v="0"/>
    <n v="0"/>
    <n v="673"/>
    <n v="177"/>
    <n v="0"/>
    <d v="2024-08-05T00:00:00"/>
    <n v="496"/>
  </r>
  <r>
    <s v="P1039"/>
    <d v="2024-04-08T00:00:00"/>
    <x v="3"/>
    <s v="Gold"/>
    <d v="2024-04-19T00:00:00"/>
    <s v="Roulette"/>
    <n v="100"/>
    <n v="20"/>
    <n v="336"/>
    <n v="129"/>
    <n v="3"/>
    <d v="2024-04-30T00:00:00"/>
    <n v="207"/>
  </r>
  <r>
    <s v="P1054"/>
    <d v="2024-01-05T00:00:00"/>
    <x v="0"/>
    <s v="Gold"/>
    <d v="2024-02-20T00:00:00"/>
    <s v="Slots"/>
    <n v="100"/>
    <n v="20"/>
    <n v="83"/>
    <n v="7"/>
    <n v="3"/>
    <d v="2024-03-12T00:00:00"/>
    <n v="76"/>
  </r>
  <r>
    <s v="P1041"/>
    <d v="2024-02-19T00:00:00"/>
    <x v="2"/>
    <s v="Regular"/>
    <d v="2024-06-20T00:00:00"/>
    <s v="Roulette"/>
    <n v="500"/>
    <n v="100"/>
    <n v="962"/>
    <n v="89"/>
    <n v="15"/>
    <d v="2024-07-17T00:00:00"/>
    <n v="873"/>
  </r>
  <r>
    <s v="P1099"/>
    <d v="2024-03-12T00:00:00"/>
    <x v="0"/>
    <s v="VIP"/>
    <d v="2024-04-19T00:00:00"/>
    <s v="Blackjack"/>
    <n v="200"/>
    <n v="0"/>
    <n v="228"/>
    <n v="38"/>
    <n v="6"/>
    <d v="2024-05-13T00:00:00"/>
    <n v="190"/>
  </r>
  <r>
    <s v="P1080"/>
    <d v="2024-05-03T00:00:00"/>
    <x v="4"/>
    <s v="Regular"/>
    <d v="2024-07-11T00:00:00"/>
    <s v="Roulette"/>
    <n v="50"/>
    <n v="0"/>
    <n v="764"/>
    <n v="250"/>
    <n v="1.5"/>
    <d v="2024-08-03T00:00:00"/>
    <n v="514"/>
  </r>
  <r>
    <s v="P1015"/>
    <d v="2024-03-11T00:00:00"/>
    <x v="0"/>
    <s v="VIP"/>
    <d v="2024-05-16T00:00:00"/>
    <s v="Slots"/>
    <n v="0"/>
    <n v="0"/>
    <n v="334"/>
    <n v="316"/>
    <n v="0"/>
    <d v="2024-05-22T00:00:00"/>
    <n v="18"/>
  </r>
  <r>
    <s v="P1047"/>
    <d v="2024-05-03T00:00:00"/>
    <x v="4"/>
    <s v="Gold"/>
    <d v="2024-08-28T00:00:00"/>
    <s v="Roulette"/>
    <n v="50"/>
    <n v="0"/>
    <n v="590"/>
    <n v="11"/>
    <n v="1.5"/>
    <d v="2024-09-04T00:00:00"/>
    <n v="579"/>
  </r>
  <r>
    <s v="P1071"/>
    <d v="2024-06-15T00:00:00"/>
    <x v="4"/>
    <s v="Regular"/>
    <d v="2024-07-31T00:00:00"/>
    <s v="Slots"/>
    <n v="500"/>
    <n v="100"/>
    <n v="347"/>
    <n v="40"/>
    <n v="15"/>
    <d v="2024-08-11T00:00:00"/>
    <n v="307"/>
  </r>
  <r>
    <s v="P1092"/>
    <d v="2024-06-10T00:00:00"/>
    <x v="3"/>
    <s v="Gold"/>
    <d v="2024-08-24T00:00:00"/>
    <s v="Live Casino"/>
    <n v="20"/>
    <n v="4"/>
    <n v="799"/>
    <n v="611"/>
    <n v="0.6"/>
    <d v="2024-09-23T00:00:00"/>
    <n v="188"/>
  </r>
  <r>
    <s v="P1001"/>
    <d v="2024-01-11T00:00:00"/>
    <x v="3"/>
    <s v="Gold"/>
    <d v="2024-07-04T00:00:00"/>
    <s v="Blackjack"/>
    <n v="0"/>
    <n v="0"/>
    <n v="499"/>
    <n v="444"/>
    <n v="0"/>
    <d v="2024-07-21T00:00:00"/>
    <n v="55"/>
  </r>
  <r>
    <s v="P1067"/>
    <d v="2024-04-03T00:00:00"/>
    <x v="2"/>
    <s v="VIP"/>
    <d v="2024-08-11T00:00:00"/>
    <s v="Blackjack"/>
    <n v="500"/>
    <n v="100"/>
    <n v="961"/>
    <n v="438"/>
    <n v="15"/>
    <d v="2024-08-27T00:00:00"/>
    <n v="523"/>
  </r>
  <r>
    <s v="P1069"/>
    <d v="2024-01-01T00:00:00"/>
    <x v="4"/>
    <s v="Gold"/>
    <d v="2024-06-21T00:00:00"/>
    <s v="Slots"/>
    <n v="200"/>
    <n v="100"/>
    <n v="135"/>
    <n v="95"/>
    <n v="6"/>
    <d v="2024-07-04T00:00:00"/>
    <n v="40"/>
  </r>
  <r>
    <s v="P1023"/>
    <d v="2024-01-24T00:00:00"/>
    <x v="2"/>
    <s v="Gold"/>
    <d v="2024-06-25T00:00:00"/>
    <s v="Slots"/>
    <n v="0"/>
    <n v="0"/>
    <n v="300"/>
    <n v="75"/>
    <n v="0"/>
    <d v="2024-07-03T00:00:00"/>
    <n v="225"/>
  </r>
  <r>
    <s v="P1053"/>
    <d v="2024-04-25T00:00:00"/>
    <x v="2"/>
    <s v="VIP"/>
    <d v="2024-07-08T00:00:00"/>
    <s v="Roulette"/>
    <n v="200"/>
    <n v="0"/>
    <n v="569"/>
    <n v="182"/>
    <n v="6"/>
    <d v="2024-07-10T00:00:00"/>
    <n v="387"/>
  </r>
  <r>
    <s v="P1075"/>
    <d v="2024-02-21T00:00:00"/>
    <x v="1"/>
    <s v="VIP"/>
    <d v="2024-06-19T00:00:00"/>
    <s v="Live Casino"/>
    <n v="500"/>
    <n v="250"/>
    <n v="60"/>
    <n v="31"/>
    <n v="15"/>
    <d v="2024-07-05T00:00:00"/>
    <n v="29"/>
  </r>
  <r>
    <s v="P1008"/>
    <d v="2024-04-24T00:00:00"/>
    <x v="4"/>
    <s v="Regular"/>
    <d v="2024-06-03T00:00:00"/>
    <s v="Slots"/>
    <n v="0"/>
    <n v="0"/>
    <n v="731"/>
    <n v="146"/>
    <n v="0"/>
    <d v="2024-06-09T00:00:00"/>
    <n v="585"/>
  </r>
  <r>
    <s v="P1077"/>
    <d v="2024-04-29T00:00:00"/>
    <x v="0"/>
    <s v="Regular"/>
    <d v="2024-05-08T00:00:00"/>
    <s v="Live Casino"/>
    <n v="100"/>
    <n v="0"/>
    <n v="584"/>
    <n v="257"/>
    <n v="3"/>
    <d v="2024-05-19T00:00:00"/>
    <n v="327"/>
  </r>
  <r>
    <s v="P1012"/>
    <d v="2024-04-03T00:00:00"/>
    <x v="4"/>
    <s v="VIP"/>
    <d v="2024-04-22T00:00:00"/>
    <s v="Live Casino"/>
    <n v="50"/>
    <n v="0"/>
    <n v="646"/>
    <n v="158"/>
    <n v="1.5"/>
    <d v="2024-05-08T00:00:00"/>
    <n v="488"/>
  </r>
  <r>
    <s v="P1016"/>
    <d v="2024-03-20T00:00:00"/>
    <x v="3"/>
    <s v="Gold"/>
    <d v="2024-04-16T00:00:00"/>
    <s v="Roulette"/>
    <n v="0"/>
    <n v="0"/>
    <n v="999"/>
    <n v="156"/>
    <n v="0"/>
    <d v="2024-04-27T00:00:00"/>
    <n v="843"/>
  </r>
  <r>
    <s v="P1095"/>
    <d v="2024-02-17T00:00:00"/>
    <x v="0"/>
    <s v="VIP"/>
    <d v="2024-04-21T00:00:00"/>
    <s v="Slots"/>
    <n v="0"/>
    <n v="0"/>
    <n v="636"/>
    <n v="234"/>
    <n v="0"/>
    <d v="2024-05-05T00:00:00"/>
    <n v="402"/>
  </r>
  <r>
    <s v="P1031"/>
    <d v="2024-03-13T00:00:00"/>
    <x v="4"/>
    <s v="Gold"/>
    <d v="2024-04-22T00:00:00"/>
    <s v="Roulette"/>
    <n v="500"/>
    <n v="0"/>
    <n v="146"/>
    <n v="142"/>
    <n v="15"/>
    <d v="2024-04-24T00:00:00"/>
    <n v="4"/>
  </r>
  <r>
    <s v="P1027"/>
    <d v="2024-02-12T00:00:00"/>
    <x v="1"/>
    <s v="Gold"/>
    <d v="2024-02-14T00:00:00"/>
    <s v="Slots"/>
    <n v="500"/>
    <n v="250"/>
    <n v="833"/>
    <n v="440"/>
    <n v="15"/>
    <d v="2024-03-15T00:00:00"/>
    <n v="393"/>
  </r>
  <r>
    <s v="P1099"/>
    <d v="2024-06-23T00:00:00"/>
    <x v="4"/>
    <s v="Gold"/>
    <d v="2024-07-28T00:00:00"/>
    <s v="Roulette"/>
    <n v="20"/>
    <n v="0"/>
    <n v="747"/>
    <n v="479"/>
    <n v="0.6"/>
    <d v="2024-07-31T00:00:00"/>
    <n v="268"/>
  </r>
  <r>
    <s v="P1025"/>
    <d v="2024-03-10T00:00:00"/>
    <x v="3"/>
    <s v="Regular"/>
    <d v="2024-04-25T00:00:00"/>
    <s v="Blackjack"/>
    <n v="100"/>
    <n v="20"/>
    <n v="90"/>
    <n v="0"/>
    <n v="3"/>
    <d v="2024-05-10T00:00:00"/>
    <n v="90"/>
  </r>
  <r>
    <s v="P1037"/>
    <d v="2024-03-22T00:00:00"/>
    <x v="3"/>
    <s v="Gold"/>
    <d v="2024-05-05T00:00:00"/>
    <s v="Roulette"/>
    <n v="0"/>
    <n v="0"/>
    <n v="915"/>
    <n v="180"/>
    <n v="0"/>
    <d v="2024-05-07T00:00:00"/>
    <n v="735"/>
  </r>
  <r>
    <s v="P1043"/>
    <d v="2024-01-19T00:00:00"/>
    <x v="0"/>
    <s v="Regular"/>
    <d v="2024-07-16T00:00:00"/>
    <s v="Live Casino"/>
    <n v="500"/>
    <n v="100"/>
    <n v="737"/>
    <n v="166"/>
    <n v="15"/>
    <d v="2024-07-22T00:00:00"/>
    <n v="571"/>
  </r>
  <r>
    <s v="P1086"/>
    <d v="2024-05-26T00:00:00"/>
    <x v="4"/>
    <s v="Gold"/>
    <d v="2024-08-29T00:00:00"/>
    <s v="Roulette"/>
    <n v="20"/>
    <n v="0"/>
    <n v="785"/>
    <n v="732"/>
    <n v="0.6"/>
    <d v="2024-09-03T00:00:00"/>
    <n v="53"/>
  </r>
  <r>
    <s v="P1074"/>
    <d v="2024-01-25T00:00:00"/>
    <x v="0"/>
    <s v="Gold"/>
    <d v="2024-06-18T00:00:00"/>
    <s v="Blackjack"/>
    <n v="500"/>
    <n v="100"/>
    <n v="181"/>
    <n v="28"/>
    <n v="15"/>
    <d v="2024-06-20T00:00:00"/>
    <n v="153"/>
  </r>
  <r>
    <s v="P1030"/>
    <d v="2024-06-04T00:00:00"/>
    <x v="3"/>
    <s v="Regular"/>
    <d v="2024-08-26T00:00:00"/>
    <s v="Live Casino"/>
    <n v="500"/>
    <n v="250"/>
    <n v="369"/>
    <n v="240"/>
    <n v="15"/>
    <d v="2024-09-12T00:00:00"/>
    <n v="129"/>
  </r>
  <r>
    <s v="P1014"/>
    <d v="2024-03-31T00:00:00"/>
    <x v="1"/>
    <s v="Gold"/>
    <d v="2024-07-05T00:00:00"/>
    <s v="Live Casino"/>
    <n v="0"/>
    <n v="0"/>
    <n v="543"/>
    <n v="154"/>
    <n v="0"/>
    <d v="2024-07-12T00:00:00"/>
    <n v="389"/>
  </r>
  <r>
    <s v="P1085"/>
    <d v="2024-01-21T00:00:00"/>
    <x v="0"/>
    <s v="Gold"/>
    <d v="2024-04-18T00:00:00"/>
    <s v="Slots"/>
    <n v="500"/>
    <n v="100"/>
    <n v="979"/>
    <n v="349"/>
    <n v="15"/>
    <d v="2024-05-09T00:00:00"/>
    <n v="630"/>
  </r>
  <r>
    <s v="P1040"/>
    <d v="2024-02-02T00:00:00"/>
    <x v="2"/>
    <s v="Gold"/>
    <d v="2024-07-21T00:00:00"/>
    <s v="Roulette"/>
    <n v="20"/>
    <n v="4"/>
    <n v="989"/>
    <n v="98"/>
    <n v="0.6"/>
    <d v="2024-07-31T00:00:00"/>
    <n v="891"/>
  </r>
  <r>
    <s v="P1095"/>
    <d v="2024-02-04T00:00:00"/>
    <x v="1"/>
    <s v="VIP"/>
    <d v="2024-05-22T00:00:00"/>
    <s v="Slots"/>
    <n v="500"/>
    <n v="0"/>
    <n v="711"/>
    <n v="486"/>
    <n v="15"/>
    <d v="2024-06-16T00:00:00"/>
    <n v="225"/>
  </r>
  <r>
    <s v="P1016"/>
    <d v="2024-06-16T00:00:00"/>
    <x v="1"/>
    <s v="Gold"/>
    <d v="2024-11-22T00:00:00"/>
    <s v="Blackjack"/>
    <n v="0"/>
    <n v="0"/>
    <n v="687"/>
    <n v="451"/>
    <n v="0"/>
    <d v="2024-12-17T00:00:00"/>
    <n v="236"/>
  </r>
  <r>
    <s v="P1086"/>
    <d v="2024-05-10T00:00:00"/>
    <x v="1"/>
    <s v="Gold"/>
    <d v="2024-07-05T00:00:00"/>
    <s v="Blackjack"/>
    <n v="20"/>
    <n v="0"/>
    <n v="356"/>
    <n v="64"/>
    <n v="0.6"/>
    <d v="2024-07-30T00:00:00"/>
    <n v="292"/>
  </r>
  <r>
    <s v="P1032"/>
    <d v="2024-06-02T00:00:00"/>
    <x v="4"/>
    <s v="Regular"/>
    <d v="2024-07-01T00:00:00"/>
    <s v="Blackjack"/>
    <n v="20"/>
    <n v="10"/>
    <n v="473"/>
    <n v="427"/>
    <n v="0.6"/>
    <d v="2024-07-28T00:00:00"/>
    <n v="46"/>
  </r>
  <r>
    <s v="P1064"/>
    <d v="2024-04-14T00:00:00"/>
    <x v="3"/>
    <s v="Regular"/>
    <d v="2024-08-11T00:00:00"/>
    <s v="Blackjack"/>
    <n v="50"/>
    <n v="10"/>
    <n v="37"/>
    <n v="25"/>
    <n v="1.5"/>
    <d v="2024-08-20T00:00:00"/>
    <n v="12"/>
  </r>
  <r>
    <s v="P1036"/>
    <d v="2024-01-20T00:00:00"/>
    <x v="1"/>
    <s v="Gold"/>
    <d v="2024-04-04T00:00:00"/>
    <s v="Blackjack"/>
    <n v="200"/>
    <n v="40"/>
    <n v="17"/>
    <n v="10"/>
    <n v="6"/>
    <d v="2024-04-11T00:00:00"/>
    <n v="7"/>
  </r>
  <r>
    <s v="P1088"/>
    <d v="2024-05-01T00:00:00"/>
    <x v="0"/>
    <s v="Gold"/>
    <d v="2024-08-04T00:00:00"/>
    <s v="Roulette"/>
    <n v="200"/>
    <n v="40"/>
    <n v="883"/>
    <n v="679"/>
    <n v="6"/>
    <d v="2024-08-13T00:00:00"/>
    <n v="204"/>
  </r>
  <r>
    <s v="P1018"/>
    <d v="2024-01-18T00:00:00"/>
    <x v="4"/>
    <s v="Regular"/>
    <d v="2024-07-05T00:00:00"/>
    <s v="Roulette"/>
    <n v="500"/>
    <n v="250"/>
    <n v="236"/>
    <n v="218"/>
    <n v="15"/>
    <d v="2024-07-20T00:00:00"/>
    <n v="18"/>
  </r>
  <r>
    <s v="P1028"/>
    <d v="2024-01-30T00:00:00"/>
    <x v="1"/>
    <s v="VIP"/>
    <d v="2024-05-02T00:00:00"/>
    <s v="Live Casino"/>
    <n v="0"/>
    <n v="0"/>
    <n v="798"/>
    <n v="160"/>
    <n v="0"/>
    <d v="2024-05-29T00:00:00"/>
    <n v="638"/>
  </r>
  <r>
    <s v="P1090"/>
    <d v="2024-01-01T00:00:00"/>
    <x v="2"/>
    <s v="VIP"/>
    <d v="2024-06-11T00:00:00"/>
    <s v="Slots"/>
    <n v="100"/>
    <n v="0"/>
    <n v="901"/>
    <n v="657"/>
    <n v="3"/>
    <d v="2024-07-05T00:00:00"/>
    <n v="244"/>
  </r>
  <r>
    <s v="P1098"/>
    <d v="2024-02-10T00:00:00"/>
    <x v="2"/>
    <s v="Regular"/>
    <d v="2024-05-30T00:00:00"/>
    <s v="Slots"/>
    <n v="20"/>
    <n v="10"/>
    <n v="831"/>
    <n v="716"/>
    <n v="0.6"/>
    <d v="2024-06-12T00:00:00"/>
    <n v="115"/>
  </r>
  <r>
    <s v="P1053"/>
    <d v="2024-05-05T00:00:00"/>
    <x v="3"/>
    <s v="Gold"/>
    <d v="2024-06-08T00:00:00"/>
    <s v="Blackjack"/>
    <n v="0"/>
    <n v="0"/>
    <n v="467"/>
    <n v="59"/>
    <n v="0"/>
    <d v="2024-06-13T00:00:00"/>
    <n v="408"/>
  </r>
  <r>
    <s v="P1087"/>
    <d v="2024-05-29T00:00:00"/>
    <x v="1"/>
    <s v="Gold"/>
    <d v="2024-06-25T00:00:00"/>
    <s v="Roulette"/>
    <n v="100"/>
    <n v="50"/>
    <n v="34"/>
    <n v="28"/>
    <n v="3"/>
    <d v="2024-07-03T00:00:00"/>
    <n v="6"/>
  </r>
  <r>
    <s v="P1081"/>
    <d v="2024-06-15T00:00:00"/>
    <x v="1"/>
    <s v="Gold"/>
    <d v="2024-07-17T00:00:00"/>
    <s v="Live Casino"/>
    <n v="100"/>
    <n v="50"/>
    <n v="71"/>
    <n v="34"/>
    <n v="3"/>
    <d v="2024-08-15T00:00:00"/>
    <n v="37"/>
  </r>
  <r>
    <s v="P1009"/>
    <d v="2024-03-06T00:00:00"/>
    <x v="2"/>
    <s v="Regular"/>
    <d v="2024-05-21T00:00:00"/>
    <s v="Live Casino"/>
    <n v="50"/>
    <n v="25"/>
    <n v="710"/>
    <n v="664"/>
    <n v="1.5"/>
    <d v="2024-05-27T00:00:00"/>
    <n v="46"/>
  </r>
  <r>
    <s v="P1081"/>
    <d v="2024-06-17T00:00:00"/>
    <x v="3"/>
    <s v="Gold"/>
    <d v="2024-09-23T00:00:00"/>
    <s v="Live Casino"/>
    <n v="0"/>
    <n v="0"/>
    <n v="97"/>
    <n v="31"/>
    <n v="0"/>
    <d v="2024-10-18T00:00:00"/>
    <n v="66"/>
  </r>
  <r>
    <s v="P1051"/>
    <d v="2024-05-06T00:00:00"/>
    <x v="0"/>
    <s v="Gold"/>
    <d v="2024-07-03T00:00:00"/>
    <s v="Roulette"/>
    <n v="20"/>
    <n v="0"/>
    <n v="858"/>
    <n v="553"/>
    <n v="0.6"/>
    <d v="2024-07-14T00:00:00"/>
    <n v="305"/>
  </r>
  <r>
    <s v="P1029"/>
    <d v="2024-01-22T00:00:00"/>
    <x v="1"/>
    <s v="Gold"/>
    <d v="2024-03-29T00:00:00"/>
    <s v="Slots"/>
    <n v="100"/>
    <n v="20"/>
    <n v="924"/>
    <n v="782"/>
    <n v="3"/>
    <d v="2024-04-26T00:00:00"/>
    <n v="142"/>
  </r>
  <r>
    <s v="P1087"/>
    <d v="2024-06-27T00:00:00"/>
    <x v="4"/>
    <s v="VIP"/>
    <d v="2024-11-24T00:00:00"/>
    <s v="Blackjack"/>
    <n v="20"/>
    <n v="10"/>
    <n v="157"/>
    <n v="43"/>
    <n v="0.6"/>
    <d v="2024-12-09T00:00:00"/>
    <n v="114"/>
  </r>
  <r>
    <s v="P1029"/>
    <d v="2024-02-02T00:00:00"/>
    <x v="3"/>
    <s v="Regular"/>
    <d v="2024-05-17T00:00:00"/>
    <s v="Live Casino"/>
    <n v="0"/>
    <n v="0"/>
    <n v="861"/>
    <n v="213"/>
    <n v="0"/>
    <d v="2024-05-23T00:00:00"/>
    <n v="648"/>
  </r>
  <r>
    <s v="P1069"/>
    <d v="2024-02-25T00:00:00"/>
    <x v="1"/>
    <s v="Gold"/>
    <d v="2024-03-31T00:00:00"/>
    <s v="Blackjack"/>
    <n v="100"/>
    <n v="50"/>
    <n v="182"/>
    <n v="179"/>
    <n v="3"/>
    <d v="2024-04-07T00:00:00"/>
    <n v="3"/>
  </r>
  <r>
    <s v="P1042"/>
    <d v="2024-02-06T00:00:00"/>
    <x v="2"/>
    <s v="Regular"/>
    <d v="2024-07-04T00:00:00"/>
    <s v="Roulette"/>
    <n v="0"/>
    <n v="0"/>
    <n v="323"/>
    <n v="65"/>
    <n v="0"/>
    <d v="2024-07-25T00:00:00"/>
    <n v="258"/>
  </r>
  <r>
    <s v="P1027"/>
    <d v="2024-04-12T00:00:00"/>
    <x v="2"/>
    <s v="Regular"/>
    <d v="2024-08-16T00:00:00"/>
    <s v="Live Casino"/>
    <n v="100"/>
    <n v="50"/>
    <n v="298"/>
    <n v="78"/>
    <n v="3"/>
    <d v="2024-08-26T00:00:00"/>
    <n v="220"/>
  </r>
  <r>
    <s v="P1081"/>
    <d v="2024-03-13T00:00:00"/>
    <x v="4"/>
    <s v="VIP"/>
    <d v="2024-09-02T00:00:00"/>
    <s v="Slots"/>
    <n v="100"/>
    <n v="0"/>
    <n v="238"/>
    <n v="5"/>
    <n v="3"/>
    <d v="2024-09-26T00:00:00"/>
    <n v="233"/>
  </r>
  <r>
    <s v="P1017"/>
    <d v="2024-06-27T00:00:00"/>
    <x v="3"/>
    <s v="VIP"/>
    <d v="2024-06-30T00:00:00"/>
    <s v="Blackjack"/>
    <n v="20"/>
    <n v="10"/>
    <n v="415"/>
    <n v="241"/>
    <n v="0.6"/>
    <d v="2024-07-02T00:00:00"/>
    <n v="174"/>
  </r>
  <r>
    <s v="P1069"/>
    <d v="2024-03-23T00:00:00"/>
    <x v="3"/>
    <s v="Gold"/>
    <d v="2024-04-03T00:00:00"/>
    <s v="Roulette"/>
    <n v="500"/>
    <n v="100"/>
    <n v="578"/>
    <n v="140"/>
    <n v="15"/>
    <d v="2024-04-09T00:00:00"/>
    <n v="438"/>
  </r>
  <r>
    <s v="P1018"/>
    <d v="2024-03-27T00:00:00"/>
    <x v="2"/>
    <s v="Regular"/>
    <d v="2024-04-27T00:00:00"/>
    <s v="Live Casino"/>
    <n v="500"/>
    <n v="100"/>
    <n v="219"/>
    <n v="185"/>
    <n v="15"/>
    <d v="2024-05-11T00:00:00"/>
    <n v="34"/>
  </r>
  <r>
    <s v="P1042"/>
    <d v="2024-02-12T00:00:00"/>
    <x v="4"/>
    <s v="Regular"/>
    <d v="2024-03-12T00:00:00"/>
    <s v="Roulette"/>
    <n v="200"/>
    <n v="0"/>
    <n v="568"/>
    <n v="378"/>
    <n v="6"/>
    <d v="2024-04-06T00:00:00"/>
    <n v="190"/>
  </r>
  <r>
    <s v="P1000"/>
    <d v="2024-01-18T00:00:00"/>
    <x v="4"/>
    <s v="Regular"/>
    <d v="2024-04-23T00:00:00"/>
    <s v="Roulette"/>
    <n v="100"/>
    <n v="20"/>
    <n v="858"/>
    <n v="419"/>
    <n v="3"/>
    <d v="2024-05-13T00:00:00"/>
    <n v="439"/>
  </r>
  <r>
    <s v="P1051"/>
    <d v="2024-01-19T00:00:00"/>
    <x v="1"/>
    <s v="Gold"/>
    <d v="2024-03-11T00:00:00"/>
    <s v="Blackjack"/>
    <n v="20"/>
    <n v="0"/>
    <n v="214"/>
    <n v="136"/>
    <n v="0.6"/>
    <d v="2024-03-22T00:00:00"/>
    <n v="78"/>
  </r>
  <r>
    <s v="P1091"/>
    <d v="2024-03-16T00:00:00"/>
    <x v="1"/>
    <s v="Regular"/>
    <d v="2024-07-27T00:00:00"/>
    <s v="Live Casino"/>
    <n v="500"/>
    <n v="100"/>
    <n v="277"/>
    <n v="27"/>
    <n v="15"/>
    <d v="2024-08-10T00:00:00"/>
    <n v="250"/>
  </r>
  <r>
    <s v="P1069"/>
    <d v="2024-06-28T00:00:00"/>
    <x v="3"/>
    <s v="VIP"/>
    <d v="2024-07-29T00:00:00"/>
    <s v="Slots"/>
    <n v="500"/>
    <n v="0"/>
    <n v="531"/>
    <n v="173"/>
    <n v="15"/>
    <d v="2024-08-11T00:00:00"/>
    <n v="358"/>
  </r>
  <r>
    <s v="P1068"/>
    <d v="2024-01-15T00:00:00"/>
    <x v="3"/>
    <s v="Gold"/>
    <d v="2024-01-24T00:00:00"/>
    <s v="Slots"/>
    <n v="50"/>
    <n v="10"/>
    <n v="976"/>
    <n v="352"/>
    <n v="1.5"/>
    <d v="2024-02-07T00:00:00"/>
    <n v="624"/>
  </r>
  <r>
    <s v="P1059"/>
    <d v="2024-02-24T00:00:00"/>
    <x v="1"/>
    <s v="Regular"/>
    <d v="2024-04-08T00:00:00"/>
    <s v="Blackjack"/>
    <n v="50"/>
    <n v="0"/>
    <n v="929"/>
    <n v="88"/>
    <n v="1.5"/>
    <d v="2024-04-11T00:00:00"/>
    <n v="841"/>
  </r>
  <r>
    <s v="P1027"/>
    <d v="2024-06-22T00:00:00"/>
    <x v="1"/>
    <s v="Regular"/>
    <d v="2024-08-29T00:00:00"/>
    <s v="Live Casino"/>
    <n v="0"/>
    <n v="0"/>
    <n v="934"/>
    <n v="553"/>
    <n v="0"/>
    <d v="2024-09-16T00:00:00"/>
    <n v="381"/>
  </r>
  <r>
    <s v="P1089"/>
    <d v="2024-06-23T00:00:00"/>
    <x v="3"/>
    <s v="Regular"/>
    <d v="2024-12-06T00:00:00"/>
    <s v="Roulette"/>
    <n v="500"/>
    <n v="0"/>
    <n v="95"/>
    <n v="3"/>
    <n v="15"/>
    <d v="2025-01-01T00:00:00"/>
    <n v="92"/>
  </r>
  <r>
    <s v="P1054"/>
    <d v="2024-04-16T00:00:00"/>
    <x v="2"/>
    <s v="VIP"/>
    <d v="2024-08-25T00:00:00"/>
    <s v="Slots"/>
    <n v="0"/>
    <n v="0"/>
    <n v="854"/>
    <n v="227"/>
    <n v="0"/>
    <d v="2024-09-22T00:00:00"/>
    <n v="627"/>
  </r>
  <r>
    <s v="P1042"/>
    <d v="2024-02-10T00:00:00"/>
    <x v="3"/>
    <s v="Regular"/>
    <d v="2024-06-01T00:00:00"/>
    <s v="Blackjack"/>
    <n v="50"/>
    <n v="25"/>
    <n v="435"/>
    <n v="286"/>
    <n v="1.5"/>
    <d v="2024-06-16T00:00:00"/>
    <n v="149"/>
  </r>
  <r>
    <s v="P1079"/>
    <d v="2024-01-19T00:00:00"/>
    <x v="4"/>
    <s v="Regular"/>
    <d v="2024-06-02T00:00:00"/>
    <s v="Slots"/>
    <n v="500"/>
    <n v="0"/>
    <n v="163"/>
    <n v="154"/>
    <n v="15"/>
    <d v="2024-06-15T00:00:00"/>
    <n v="9"/>
  </r>
  <r>
    <s v="P1055"/>
    <d v="2024-04-18T00:00:00"/>
    <x v="1"/>
    <s v="VIP"/>
    <d v="2024-07-18T00:00:00"/>
    <s v="Blackjack"/>
    <n v="50"/>
    <n v="25"/>
    <n v="897"/>
    <n v="201"/>
    <n v="1.5"/>
    <d v="2024-08-04T00:00:00"/>
    <n v="696"/>
  </r>
  <r>
    <s v="P1072"/>
    <d v="2024-04-17T00:00:00"/>
    <x v="4"/>
    <s v="VIP"/>
    <d v="2024-07-18T00:00:00"/>
    <s v="Live Casino"/>
    <n v="100"/>
    <n v="50"/>
    <n v="226"/>
    <n v="221"/>
    <n v="3"/>
    <d v="2024-08-05T00:00:00"/>
    <n v="5"/>
  </r>
  <r>
    <s v="P1075"/>
    <d v="2024-01-14T00:00:00"/>
    <x v="3"/>
    <s v="Gold"/>
    <d v="2024-06-08T00:00:00"/>
    <s v="Live Casino"/>
    <n v="20"/>
    <n v="0"/>
    <n v="74"/>
    <n v="48"/>
    <n v="0.6"/>
    <d v="2024-06-15T00:00:00"/>
    <n v="26"/>
  </r>
  <r>
    <s v="P1062"/>
    <d v="2024-03-28T00:00:00"/>
    <x v="3"/>
    <s v="Regular"/>
    <d v="2024-07-02T00:00:00"/>
    <s v="Slots"/>
    <n v="20"/>
    <n v="0"/>
    <n v="178"/>
    <n v="2"/>
    <n v="0.6"/>
    <d v="2024-07-15T00:00:00"/>
    <n v="176"/>
  </r>
  <r>
    <s v="P1045"/>
    <d v="2024-02-08T00:00:00"/>
    <x v="1"/>
    <s v="Gold"/>
    <d v="2024-07-22T00:00:00"/>
    <s v="Live Casino"/>
    <n v="20"/>
    <n v="10"/>
    <n v="259"/>
    <n v="1"/>
    <n v="0.6"/>
    <d v="2024-08-12T00:00:00"/>
    <n v="258"/>
  </r>
  <r>
    <s v="P1002"/>
    <d v="2024-02-19T00:00:00"/>
    <x v="1"/>
    <s v="Gold"/>
    <d v="2024-04-27T00:00:00"/>
    <s v="Slots"/>
    <n v="200"/>
    <n v="40"/>
    <n v="800"/>
    <n v="125"/>
    <n v="6"/>
    <d v="2024-05-06T00:00:00"/>
    <n v="675"/>
  </r>
  <r>
    <s v="P1095"/>
    <d v="2024-03-05T00:00:00"/>
    <x v="4"/>
    <s v="VIP"/>
    <d v="2024-08-08T00:00:00"/>
    <s v="Live Casino"/>
    <n v="500"/>
    <n v="250"/>
    <n v="197"/>
    <n v="54"/>
    <n v="15"/>
    <d v="2024-08-30T00:00:00"/>
    <n v="143"/>
  </r>
  <r>
    <s v="P1004"/>
    <d v="2024-03-28T00:00:00"/>
    <x v="2"/>
    <s v="Gold"/>
    <d v="2024-04-25T00:00:00"/>
    <s v="Blackjack"/>
    <n v="0"/>
    <n v="0"/>
    <n v="470"/>
    <n v="121"/>
    <n v="0"/>
    <d v="2024-04-29T00:00:00"/>
    <n v="349"/>
  </r>
  <r>
    <s v="P1021"/>
    <d v="2024-05-29T00:00:00"/>
    <x v="0"/>
    <s v="VIP"/>
    <d v="2024-06-29T00:00:00"/>
    <s v="Blackjack"/>
    <n v="500"/>
    <n v="100"/>
    <n v="574"/>
    <n v="356"/>
    <n v="15"/>
    <d v="2024-07-27T00:00:00"/>
    <n v="218"/>
  </r>
  <r>
    <s v="P1026"/>
    <d v="2024-03-07T00:00:00"/>
    <x v="1"/>
    <s v="VIP"/>
    <d v="2024-06-18T00:00:00"/>
    <s v="Live Casino"/>
    <n v="200"/>
    <n v="0"/>
    <n v="130"/>
    <n v="30"/>
    <n v="6"/>
    <d v="2024-06-18T00:00:00"/>
    <n v="100"/>
  </r>
  <r>
    <s v="P1000"/>
    <d v="2024-05-21T00:00:00"/>
    <x v="3"/>
    <s v="Regular"/>
    <d v="2024-08-08T00:00:00"/>
    <s v="Live Casino"/>
    <n v="20"/>
    <n v="4"/>
    <n v="638"/>
    <n v="630"/>
    <n v="0.6"/>
    <d v="2024-08-14T00:00:00"/>
    <n v="8"/>
  </r>
  <r>
    <s v="P1049"/>
    <d v="2024-05-21T00:00:00"/>
    <x v="2"/>
    <s v="VIP"/>
    <d v="2024-10-29T00:00:00"/>
    <s v="Roulette"/>
    <n v="100"/>
    <n v="20"/>
    <n v="803"/>
    <n v="503"/>
    <n v="3"/>
    <d v="2024-11-22T00:00:00"/>
    <n v="300"/>
  </r>
  <r>
    <s v="P1031"/>
    <d v="2024-01-13T00:00:00"/>
    <x v="4"/>
    <s v="Regular"/>
    <d v="2024-04-21T00:00:00"/>
    <s v="Slots"/>
    <n v="20"/>
    <n v="4"/>
    <n v="997"/>
    <n v="195"/>
    <n v="0.6"/>
    <d v="2024-05-16T00:00:00"/>
    <n v="802"/>
  </r>
  <r>
    <s v="P1031"/>
    <d v="2024-03-08T00:00:00"/>
    <x v="1"/>
    <s v="Regular"/>
    <d v="2024-06-09T00:00:00"/>
    <s v="Roulette"/>
    <n v="0"/>
    <n v="0"/>
    <n v="857"/>
    <n v="190"/>
    <n v="0"/>
    <d v="2024-06-29T00:00:00"/>
    <n v="667"/>
  </r>
  <r>
    <s v="P1072"/>
    <d v="2024-03-27T00:00:00"/>
    <x v="0"/>
    <s v="VIP"/>
    <d v="2024-08-29T00:00:00"/>
    <s v="Blackjack"/>
    <n v="0"/>
    <n v="0"/>
    <n v="464"/>
    <n v="200"/>
    <n v="0"/>
    <d v="2024-09-22T00:00:00"/>
    <n v="264"/>
  </r>
  <r>
    <s v="P1023"/>
    <d v="2024-01-26T00:00:00"/>
    <x v="1"/>
    <s v="Regular"/>
    <d v="2024-03-11T00:00:00"/>
    <s v="Slots"/>
    <n v="500"/>
    <n v="100"/>
    <n v="345"/>
    <n v="171"/>
    <n v="15"/>
    <d v="2024-03-18T00:00:00"/>
    <n v="174"/>
  </r>
  <r>
    <s v="P1072"/>
    <d v="2024-05-01T00:00:00"/>
    <x v="3"/>
    <s v="Regular"/>
    <d v="2024-05-15T00:00:00"/>
    <s v="Blackjack"/>
    <n v="0"/>
    <n v="0"/>
    <n v="913"/>
    <n v="456"/>
    <n v="0"/>
    <d v="2024-05-23T00:00:00"/>
    <n v="457"/>
  </r>
  <r>
    <s v="P1060"/>
    <d v="2024-03-15T00:00:00"/>
    <x v="3"/>
    <s v="Gold"/>
    <d v="2024-05-11T00:00:00"/>
    <s v="Slots"/>
    <n v="200"/>
    <n v="0"/>
    <n v="534"/>
    <n v="398"/>
    <n v="6"/>
    <d v="2024-06-03T00:00:00"/>
    <n v="136"/>
  </r>
  <r>
    <s v="P1018"/>
    <d v="2024-03-01T00:00:00"/>
    <x v="2"/>
    <s v="Gold"/>
    <d v="2024-07-25T00:00:00"/>
    <s v="Blackjack"/>
    <n v="100"/>
    <n v="20"/>
    <n v="324"/>
    <n v="284"/>
    <n v="3"/>
    <d v="2024-08-20T00:00:00"/>
    <n v="40"/>
  </r>
  <r>
    <s v="P1051"/>
    <d v="2024-06-22T00:00:00"/>
    <x v="0"/>
    <s v="VIP"/>
    <d v="2024-11-22T00:00:00"/>
    <s v="Live Casino"/>
    <n v="500"/>
    <n v="250"/>
    <n v="393"/>
    <n v="5"/>
    <n v="15"/>
    <d v="2024-12-20T00:00:00"/>
    <n v="388"/>
  </r>
  <r>
    <s v="P1058"/>
    <d v="2024-06-25T00:00:00"/>
    <x v="0"/>
    <s v="Regular"/>
    <d v="2024-10-09T00:00:00"/>
    <s v="Live Casino"/>
    <n v="500"/>
    <n v="250"/>
    <n v="155"/>
    <n v="83"/>
    <n v="15"/>
    <d v="2024-11-06T00:00:00"/>
    <n v="72"/>
  </r>
  <r>
    <s v="P1097"/>
    <d v="2024-04-28T00:00:00"/>
    <x v="2"/>
    <s v="VIP"/>
    <d v="2024-05-22T00:00:00"/>
    <s v="Roulette"/>
    <n v="200"/>
    <n v="0"/>
    <n v="665"/>
    <n v="141"/>
    <n v="6"/>
    <d v="2024-05-23T00:00:00"/>
    <n v="524"/>
  </r>
  <r>
    <s v="P1037"/>
    <d v="2024-04-28T00:00:00"/>
    <x v="1"/>
    <s v="Gold"/>
    <d v="2024-06-25T00:00:00"/>
    <s v="Roulette"/>
    <n v="20"/>
    <n v="0"/>
    <n v="977"/>
    <n v="72"/>
    <n v="0.6"/>
    <d v="2024-06-29T00:00:00"/>
    <n v="905"/>
  </r>
  <r>
    <s v="P1076"/>
    <d v="2024-05-06T00:00:00"/>
    <x v="4"/>
    <s v="Gold"/>
    <d v="2024-05-11T00:00:00"/>
    <s v="Blackjack"/>
    <n v="200"/>
    <n v="0"/>
    <n v="681"/>
    <n v="242"/>
    <n v="6"/>
    <d v="2024-05-20T00:00:00"/>
    <n v="439"/>
  </r>
  <r>
    <s v="P1044"/>
    <d v="2024-01-08T00:00:00"/>
    <x v="0"/>
    <s v="VIP"/>
    <d v="2024-03-30T00:00:00"/>
    <s v="Roulette"/>
    <n v="100"/>
    <n v="50"/>
    <n v="809"/>
    <n v="264"/>
    <n v="3"/>
    <d v="2024-04-11T00:00:00"/>
    <n v="545"/>
  </r>
  <r>
    <s v="P1073"/>
    <d v="2024-01-31T00:00:00"/>
    <x v="2"/>
    <s v="Regular"/>
    <d v="2024-05-08T00:00:00"/>
    <s v="Live Casino"/>
    <n v="20"/>
    <n v="10"/>
    <n v="408"/>
    <n v="120"/>
    <n v="0.6"/>
    <d v="2024-05-23T00:00:00"/>
    <n v="288"/>
  </r>
  <r>
    <s v="P1011"/>
    <d v="2024-02-09T00:00:00"/>
    <x v="0"/>
    <s v="Gold"/>
    <d v="2024-02-20T00:00:00"/>
    <s v="Blackjack"/>
    <n v="100"/>
    <n v="20"/>
    <n v="857"/>
    <n v="178"/>
    <n v="3"/>
    <d v="2024-02-29T00:00:00"/>
    <n v="679"/>
  </r>
  <r>
    <s v="P1006"/>
    <d v="2024-05-15T00:00:00"/>
    <x v="3"/>
    <s v="Gold"/>
    <d v="2024-06-16T00:00:00"/>
    <s v="Roulette"/>
    <n v="500"/>
    <n v="0"/>
    <n v="566"/>
    <n v="479"/>
    <n v="15"/>
    <d v="2024-06-28T00:00:00"/>
    <n v="87"/>
  </r>
  <r>
    <s v="P1041"/>
    <d v="2024-06-29T00:00:00"/>
    <x v="3"/>
    <s v="Gold"/>
    <d v="2024-08-06T00:00:00"/>
    <s v="Slots"/>
    <n v="50"/>
    <n v="0"/>
    <n v="860"/>
    <n v="716"/>
    <n v="1.5"/>
    <d v="2024-08-31T00:00:00"/>
    <n v="144"/>
  </r>
  <r>
    <s v="P1093"/>
    <d v="2024-04-12T00:00:00"/>
    <x v="3"/>
    <s v="VIP"/>
    <d v="2024-05-21T00:00:00"/>
    <s v="Slots"/>
    <n v="200"/>
    <n v="100"/>
    <n v="977"/>
    <n v="295"/>
    <n v="6"/>
    <d v="2024-05-26T00:00:00"/>
    <n v="682"/>
  </r>
  <r>
    <s v="P1073"/>
    <d v="2024-01-11T00:00:00"/>
    <x v="1"/>
    <s v="Regular"/>
    <d v="2024-02-13T00:00:00"/>
    <s v="Roulette"/>
    <n v="0"/>
    <n v="0"/>
    <n v="486"/>
    <n v="312"/>
    <n v="0"/>
    <d v="2024-02-25T00:00:00"/>
    <n v="174"/>
  </r>
  <r>
    <s v="P1100"/>
    <d v="2024-03-24T00:00:00"/>
    <x v="4"/>
    <s v="Gold"/>
    <d v="2024-08-23T00:00:00"/>
    <s v="Live Casino"/>
    <n v="100"/>
    <n v="20"/>
    <n v="442"/>
    <n v="99"/>
    <n v="3"/>
    <d v="2024-09-22T00:00:00"/>
    <n v="343"/>
  </r>
  <r>
    <s v="P1043"/>
    <d v="2024-06-09T00:00:00"/>
    <x v="4"/>
    <s v="VIP"/>
    <d v="2024-09-20T00:00:00"/>
    <s v="Slots"/>
    <n v="200"/>
    <n v="40"/>
    <n v="869"/>
    <n v="167"/>
    <n v="6"/>
    <d v="2024-10-16T00:00:00"/>
    <n v="702"/>
  </r>
  <r>
    <s v="P1048"/>
    <d v="2024-04-06T00:00:00"/>
    <x v="3"/>
    <s v="Gold"/>
    <d v="2024-07-17T00:00:00"/>
    <s v="Live Casino"/>
    <n v="200"/>
    <n v="40"/>
    <n v="433"/>
    <n v="310"/>
    <n v="6"/>
    <d v="2024-08-15T00:00:00"/>
    <n v="123"/>
  </r>
  <r>
    <s v="P1044"/>
    <d v="2024-06-06T00:00:00"/>
    <x v="1"/>
    <s v="Gold"/>
    <d v="2024-09-13T00:00:00"/>
    <s v="Slots"/>
    <n v="100"/>
    <n v="20"/>
    <n v="931"/>
    <n v="689"/>
    <n v="3"/>
    <d v="2024-09-30T00:00:00"/>
    <n v="242"/>
  </r>
  <r>
    <s v="P1045"/>
    <d v="2024-06-02T00:00:00"/>
    <x v="4"/>
    <s v="VIP"/>
    <d v="2024-07-04T00:00:00"/>
    <s v="Blackjack"/>
    <n v="50"/>
    <n v="10"/>
    <n v="921"/>
    <n v="600"/>
    <n v="1.5"/>
    <d v="2024-07-06T00:00:00"/>
    <n v="321"/>
  </r>
  <r>
    <s v="P1070"/>
    <d v="2024-01-28T00:00:00"/>
    <x v="2"/>
    <s v="VIP"/>
    <d v="2024-05-31T00:00:00"/>
    <s v="Blackjack"/>
    <n v="50"/>
    <n v="25"/>
    <n v="278"/>
    <n v="214"/>
    <n v="1.5"/>
    <d v="2024-06-29T00:00:00"/>
    <n v="64"/>
  </r>
  <r>
    <s v="P1021"/>
    <d v="2024-01-05T00:00:00"/>
    <x v="0"/>
    <s v="Gold"/>
    <d v="2024-05-13T00:00:00"/>
    <s v="Slots"/>
    <n v="20"/>
    <n v="4"/>
    <n v="843"/>
    <n v="738"/>
    <n v="0.6"/>
    <d v="2024-05-26T00:00:00"/>
    <n v="105"/>
  </r>
  <r>
    <s v="P1038"/>
    <d v="2024-01-30T00:00:00"/>
    <x v="2"/>
    <s v="Gold"/>
    <d v="2024-01-31T00:00:00"/>
    <s v="Slots"/>
    <n v="100"/>
    <n v="50"/>
    <n v="936"/>
    <n v="294"/>
    <n v="3"/>
    <d v="2024-02-24T00:00:00"/>
    <n v="642"/>
  </r>
  <r>
    <s v="P1027"/>
    <d v="2024-04-29T00:00:00"/>
    <x v="1"/>
    <s v="VIP"/>
    <d v="2024-09-16T00:00:00"/>
    <s v="Roulette"/>
    <n v="20"/>
    <n v="4"/>
    <n v="535"/>
    <n v="281"/>
    <n v="0.6"/>
    <d v="2024-10-03T00:00:00"/>
    <n v="254"/>
  </r>
  <r>
    <s v="P1061"/>
    <d v="2024-05-09T00:00:00"/>
    <x v="0"/>
    <s v="Regular"/>
    <d v="2024-06-01T00:00:00"/>
    <s v="Blackjack"/>
    <n v="50"/>
    <n v="25"/>
    <n v="769"/>
    <n v="86"/>
    <n v="1.5"/>
    <d v="2024-06-13T00:00:00"/>
    <n v="683"/>
  </r>
  <r>
    <s v="P1081"/>
    <d v="2024-04-17T00:00:00"/>
    <x v="1"/>
    <s v="VIP"/>
    <d v="2024-07-03T00:00:00"/>
    <s v="Blackjack"/>
    <n v="100"/>
    <n v="50"/>
    <n v="870"/>
    <n v="818"/>
    <n v="3"/>
    <d v="2024-07-29T00:00:00"/>
    <n v="52"/>
  </r>
  <r>
    <s v="P1067"/>
    <d v="2024-05-25T00:00:00"/>
    <x v="3"/>
    <s v="VIP"/>
    <d v="2024-11-03T00:00:00"/>
    <s v="Blackjack"/>
    <n v="0"/>
    <n v="0"/>
    <n v="104"/>
    <n v="95"/>
    <n v="0"/>
    <d v="2024-11-03T00:00:00"/>
    <n v="9"/>
  </r>
  <r>
    <s v="P1095"/>
    <d v="2024-05-02T00:00:00"/>
    <x v="1"/>
    <s v="Gold"/>
    <d v="2024-08-09T00:00:00"/>
    <s v="Slots"/>
    <n v="200"/>
    <n v="0"/>
    <n v="927"/>
    <n v="261"/>
    <n v="6"/>
    <d v="2024-08-16T00:00:00"/>
    <n v="666"/>
  </r>
  <r>
    <s v="P1002"/>
    <d v="2024-03-07T00:00:00"/>
    <x v="3"/>
    <s v="Regular"/>
    <d v="2024-03-24T00:00:00"/>
    <s v="Live Casino"/>
    <n v="50"/>
    <n v="0"/>
    <n v="67"/>
    <n v="40"/>
    <n v="1.5"/>
    <d v="2024-03-31T00:00:00"/>
    <n v="27"/>
  </r>
  <r>
    <s v="P1050"/>
    <d v="2024-04-01T00:00:00"/>
    <x v="0"/>
    <s v="Regular"/>
    <d v="2024-08-29T00:00:00"/>
    <s v="Blackjack"/>
    <n v="500"/>
    <n v="250"/>
    <n v="253"/>
    <n v="64"/>
    <n v="15"/>
    <d v="2024-09-27T00:00:00"/>
    <n v="189"/>
  </r>
  <r>
    <s v="P1070"/>
    <d v="2024-03-21T00:00:00"/>
    <x v="3"/>
    <s v="VIP"/>
    <d v="2024-06-18T00:00:00"/>
    <s v="Slots"/>
    <n v="20"/>
    <n v="4"/>
    <n v="575"/>
    <n v="476"/>
    <n v="0.6"/>
    <d v="2024-07-05T00:00:00"/>
    <n v="99"/>
  </r>
  <r>
    <s v="P1017"/>
    <d v="2024-03-31T00:00:00"/>
    <x v="1"/>
    <s v="Regular"/>
    <d v="2024-05-31T00:00:00"/>
    <s v="Roulette"/>
    <n v="200"/>
    <n v="100"/>
    <n v="485"/>
    <n v="0"/>
    <n v="6"/>
    <d v="2024-06-30T00:00:00"/>
    <n v="485"/>
  </r>
  <r>
    <s v="P1051"/>
    <d v="2024-05-11T00:00:00"/>
    <x v="1"/>
    <s v="Gold"/>
    <d v="2024-08-19T00:00:00"/>
    <s v="Blackjack"/>
    <n v="200"/>
    <n v="40"/>
    <n v="154"/>
    <n v="73"/>
    <n v="6"/>
    <d v="2024-09-07T00:00:00"/>
    <n v="81"/>
  </r>
  <r>
    <s v="P1098"/>
    <d v="2024-03-21T00:00:00"/>
    <x v="3"/>
    <s v="VIP"/>
    <d v="2024-08-31T00:00:00"/>
    <s v="Roulette"/>
    <n v="20"/>
    <n v="10"/>
    <n v="796"/>
    <n v="57"/>
    <n v="0.6"/>
    <d v="2024-09-09T00:00:00"/>
    <n v="739"/>
  </r>
  <r>
    <s v="P1083"/>
    <d v="2024-03-26T00:00:00"/>
    <x v="2"/>
    <s v="Regular"/>
    <d v="2024-09-20T00:00:00"/>
    <s v="Live Casino"/>
    <n v="20"/>
    <n v="10"/>
    <n v="489"/>
    <n v="143"/>
    <n v="0.6"/>
    <d v="2024-10-18T00:00:00"/>
    <n v="346"/>
  </r>
  <r>
    <s v="P1094"/>
    <d v="2024-04-21T00:00:00"/>
    <x v="4"/>
    <s v="Gold"/>
    <d v="2024-07-10T00:00:00"/>
    <s v="Blackjack"/>
    <n v="20"/>
    <n v="4"/>
    <n v="29"/>
    <n v="20"/>
    <n v="0.6"/>
    <d v="2024-07-30T00:00:00"/>
    <n v="9"/>
  </r>
  <r>
    <s v="P1004"/>
    <d v="2024-06-22T00:00:00"/>
    <x v="0"/>
    <s v="Gold"/>
    <d v="2024-08-15T00:00:00"/>
    <s v="Blackjack"/>
    <n v="100"/>
    <n v="20"/>
    <n v="469"/>
    <n v="303"/>
    <n v="3"/>
    <d v="2024-08-17T00:00:00"/>
    <n v="166"/>
  </r>
  <r>
    <s v="P1037"/>
    <d v="2024-06-18T00:00:00"/>
    <x v="2"/>
    <s v="Regular"/>
    <d v="2024-09-02T00:00:00"/>
    <s v="Live Casino"/>
    <n v="0"/>
    <n v="0"/>
    <n v="461"/>
    <n v="96"/>
    <n v="0"/>
    <d v="2024-09-03T00:00:00"/>
    <n v="365"/>
  </r>
  <r>
    <s v="P1033"/>
    <d v="2024-05-14T00:00:00"/>
    <x v="0"/>
    <s v="Gold"/>
    <d v="2024-08-18T00:00:00"/>
    <s v="Roulette"/>
    <n v="0"/>
    <n v="0"/>
    <n v="609"/>
    <n v="84"/>
    <n v="0"/>
    <d v="2024-09-06T00:00:00"/>
    <n v="525"/>
  </r>
  <r>
    <s v="P1016"/>
    <d v="2024-05-02T00:00:00"/>
    <x v="3"/>
    <s v="Regular"/>
    <d v="2024-06-20T00:00:00"/>
    <s v="Slots"/>
    <n v="100"/>
    <n v="20"/>
    <n v="614"/>
    <n v="211"/>
    <n v="3"/>
    <d v="2024-07-18T00:00:00"/>
    <n v="403"/>
  </r>
  <r>
    <s v="P1038"/>
    <d v="2024-06-25T00:00:00"/>
    <x v="1"/>
    <s v="Regular"/>
    <d v="2024-07-05T00:00:00"/>
    <s v="Live Casino"/>
    <n v="20"/>
    <n v="10"/>
    <n v="245"/>
    <n v="30"/>
    <n v="0.6"/>
    <d v="2024-07-30T00:00:00"/>
    <n v="215"/>
  </r>
  <r>
    <s v="P1091"/>
    <d v="2024-04-29T00:00:00"/>
    <x v="2"/>
    <s v="VIP"/>
    <d v="2024-06-02T00:00:00"/>
    <s v="Blackjack"/>
    <n v="0"/>
    <n v="0"/>
    <n v="533"/>
    <n v="17"/>
    <n v="0"/>
    <d v="2024-06-28T00:00:00"/>
    <n v="516"/>
  </r>
  <r>
    <s v="P1062"/>
    <d v="2024-04-04T00:00:00"/>
    <x v="3"/>
    <s v="VIP"/>
    <d v="2024-07-06T00:00:00"/>
    <s v="Live Casino"/>
    <n v="200"/>
    <n v="40"/>
    <n v="800"/>
    <n v="537"/>
    <n v="6"/>
    <d v="2024-08-01T00:00:00"/>
    <n v="263"/>
  </r>
  <r>
    <s v="P1066"/>
    <d v="2024-03-18T00:00:00"/>
    <x v="0"/>
    <s v="Gold"/>
    <d v="2024-08-15T00:00:00"/>
    <s v="Slots"/>
    <n v="20"/>
    <n v="0"/>
    <n v="869"/>
    <n v="208"/>
    <n v="0.6"/>
    <d v="2024-09-02T00:00:00"/>
    <n v="661"/>
  </r>
  <r>
    <s v="P1015"/>
    <d v="2024-01-26T00:00:00"/>
    <x v="1"/>
    <s v="Regular"/>
    <d v="2024-02-06T00:00:00"/>
    <s v="Slots"/>
    <n v="20"/>
    <n v="4"/>
    <n v="295"/>
    <n v="39"/>
    <n v="0.6"/>
    <d v="2024-02-16T00:00:00"/>
    <n v="256"/>
  </r>
  <r>
    <s v="P1021"/>
    <d v="2024-01-24T00:00:00"/>
    <x v="4"/>
    <s v="Gold"/>
    <d v="2024-04-18T00:00:00"/>
    <s v="Blackjack"/>
    <n v="100"/>
    <n v="0"/>
    <n v="989"/>
    <n v="397"/>
    <n v="3"/>
    <d v="2024-04-29T00:00:00"/>
    <n v="592"/>
  </r>
  <r>
    <s v="P1069"/>
    <d v="2024-05-26T00:00:00"/>
    <x v="2"/>
    <s v="Gold"/>
    <d v="2024-08-14T00:00:00"/>
    <s v="Slots"/>
    <n v="0"/>
    <n v="0"/>
    <n v="520"/>
    <n v="415"/>
    <n v="0"/>
    <d v="2024-09-13T00:00:00"/>
    <n v="105"/>
  </r>
  <r>
    <s v="P1031"/>
    <d v="2024-06-29T00:00:00"/>
    <x v="4"/>
    <s v="VIP"/>
    <d v="2024-11-24T00:00:00"/>
    <s v="Live Casino"/>
    <n v="100"/>
    <n v="20"/>
    <n v="370"/>
    <n v="333"/>
    <n v="3"/>
    <d v="2024-12-16T00:00:00"/>
    <n v="37"/>
  </r>
  <r>
    <s v="P1015"/>
    <d v="2024-06-11T00:00:00"/>
    <x v="0"/>
    <s v="Gold"/>
    <d v="2024-12-05T00:00:00"/>
    <s v="Blackjack"/>
    <n v="50"/>
    <n v="0"/>
    <n v="103"/>
    <n v="81"/>
    <n v="1.5"/>
    <d v="2024-12-05T00:00:00"/>
    <n v="22"/>
  </r>
  <r>
    <s v="P1035"/>
    <d v="2024-04-10T00:00:00"/>
    <x v="3"/>
    <s v="Gold"/>
    <d v="2024-09-04T00:00:00"/>
    <s v="Slots"/>
    <n v="500"/>
    <n v="250"/>
    <n v="430"/>
    <n v="301"/>
    <n v="15"/>
    <d v="2024-09-11T00:00:00"/>
    <n v="129"/>
  </r>
  <r>
    <s v="P1016"/>
    <d v="2024-02-02T00:00:00"/>
    <x v="1"/>
    <s v="VIP"/>
    <d v="2024-07-10T00:00:00"/>
    <s v="Live Casino"/>
    <n v="50"/>
    <n v="0"/>
    <n v="30"/>
    <n v="29"/>
    <n v="1.5"/>
    <d v="2024-07-12T00:00:00"/>
    <n v="1"/>
  </r>
  <r>
    <s v="P1084"/>
    <d v="2024-04-04T00:00:00"/>
    <x v="1"/>
    <s v="Regular"/>
    <d v="2024-05-23T00:00:00"/>
    <s v="Slots"/>
    <n v="100"/>
    <n v="50"/>
    <n v="724"/>
    <n v="229"/>
    <n v="3"/>
    <d v="2024-05-30T00:00:00"/>
    <n v="495"/>
  </r>
  <r>
    <s v="P1048"/>
    <d v="2024-02-20T00:00:00"/>
    <x v="3"/>
    <s v="Regular"/>
    <d v="2024-05-21T00:00:00"/>
    <s v="Live Casino"/>
    <n v="500"/>
    <n v="250"/>
    <n v="960"/>
    <n v="289"/>
    <n v="15"/>
    <d v="2024-06-09T00:00:00"/>
    <n v="671"/>
  </r>
  <r>
    <s v="P1028"/>
    <d v="2024-04-17T00:00:00"/>
    <x v="4"/>
    <s v="Gold"/>
    <d v="2024-07-26T00:00:00"/>
    <s v="Live Casino"/>
    <n v="20"/>
    <n v="4"/>
    <n v="474"/>
    <n v="84"/>
    <n v="0.6"/>
    <d v="2024-08-13T00:00:00"/>
    <n v="390"/>
  </r>
  <r>
    <s v="P1002"/>
    <d v="2024-02-08T00:00:00"/>
    <x v="1"/>
    <s v="Regular"/>
    <d v="2024-02-19T00:00:00"/>
    <s v="Live Casino"/>
    <n v="500"/>
    <n v="250"/>
    <n v="17"/>
    <n v="1"/>
    <n v="15"/>
    <d v="2024-03-17T00:00:00"/>
    <n v="16"/>
  </r>
  <r>
    <s v="P1089"/>
    <d v="2024-01-17T00:00:00"/>
    <x v="2"/>
    <s v="Gold"/>
    <d v="2024-01-19T00:00:00"/>
    <s v="Roulette"/>
    <n v="200"/>
    <n v="0"/>
    <n v="306"/>
    <n v="92"/>
    <n v="6"/>
    <d v="2024-01-24T00:00:00"/>
    <n v="214"/>
  </r>
  <r>
    <s v="P1057"/>
    <d v="2024-05-24T00:00:00"/>
    <x v="1"/>
    <s v="Gold"/>
    <d v="2024-10-16T00:00:00"/>
    <s v="Slots"/>
    <n v="500"/>
    <n v="250"/>
    <n v="292"/>
    <n v="274"/>
    <n v="15"/>
    <d v="2024-10-18T00:00:00"/>
    <n v="18"/>
  </r>
  <r>
    <s v="P1056"/>
    <d v="2024-04-23T00:00:00"/>
    <x v="1"/>
    <s v="Regular"/>
    <d v="2024-07-26T00:00:00"/>
    <s v="Slots"/>
    <n v="50"/>
    <n v="10"/>
    <n v="472"/>
    <n v="261"/>
    <n v="1.5"/>
    <d v="2024-08-16T00:00:00"/>
    <n v="211"/>
  </r>
  <r>
    <s v="P1009"/>
    <d v="2024-02-08T00:00:00"/>
    <x v="2"/>
    <s v="Gold"/>
    <d v="2024-03-29T00:00:00"/>
    <s v="Roulette"/>
    <n v="20"/>
    <n v="10"/>
    <n v="632"/>
    <n v="354"/>
    <n v="0.6"/>
    <d v="2024-04-07T00:00:00"/>
    <n v="278"/>
  </r>
  <r>
    <s v="P1077"/>
    <d v="2024-01-21T00:00:00"/>
    <x v="2"/>
    <s v="Regular"/>
    <d v="2024-06-04T00:00:00"/>
    <s v="Live Casino"/>
    <n v="500"/>
    <n v="100"/>
    <n v="397"/>
    <n v="311"/>
    <n v="15"/>
    <d v="2024-07-02T00:00:00"/>
    <n v="86"/>
  </r>
  <r>
    <s v="P1075"/>
    <d v="2024-05-01T00:00:00"/>
    <x v="0"/>
    <s v="VIP"/>
    <d v="2024-05-31T00:00:00"/>
    <s v="Roulette"/>
    <n v="50"/>
    <n v="10"/>
    <n v="199"/>
    <n v="178"/>
    <n v="1.5"/>
    <d v="2024-06-20T00:00:00"/>
    <n v="21"/>
  </r>
  <r>
    <s v="P1002"/>
    <d v="2024-04-22T00:00:00"/>
    <x v="3"/>
    <s v="VIP"/>
    <d v="2024-08-04T00:00:00"/>
    <s v="Slots"/>
    <n v="20"/>
    <n v="10"/>
    <n v="293"/>
    <n v="48"/>
    <n v="0.6"/>
    <d v="2024-08-16T00:00:00"/>
    <n v="245"/>
  </r>
  <r>
    <s v="P1100"/>
    <d v="2024-06-19T00:00:00"/>
    <x v="4"/>
    <s v="Gold"/>
    <d v="2024-08-03T00:00:00"/>
    <s v="Blackjack"/>
    <n v="20"/>
    <n v="4"/>
    <n v="652"/>
    <n v="553"/>
    <n v="0.6"/>
    <d v="2024-08-30T00:00:00"/>
    <n v="99"/>
  </r>
  <r>
    <s v="P1070"/>
    <d v="2024-06-08T00:00:00"/>
    <x v="0"/>
    <s v="Regular"/>
    <d v="2024-06-13T00:00:00"/>
    <s v="Live Casino"/>
    <n v="500"/>
    <n v="100"/>
    <n v="401"/>
    <n v="347"/>
    <n v="15"/>
    <d v="2024-07-03T00:00:00"/>
    <n v="54"/>
  </r>
  <r>
    <s v="P1060"/>
    <d v="2024-01-01T00:00:00"/>
    <x v="2"/>
    <s v="VIP"/>
    <d v="2024-05-21T00:00:00"/>
    <s v="Live Casino"/>
    <n v="0"/>
    <n v="0"/>
    <n v="116"/>
    <n v="56"/>
    <n v="0"/>
    <d v="2024-05-30T00:00:00"/>
    <n v="60"/>
  </r>
  <r>
    <s v="P1029"/>
    <d v="2024-03-20T00:00:00"/>
    <x v="4"/>
    <s v="Gold"/>
    <d v="2024-03-24T00:00:00"/>
    <s v="Slots"/>
    <n v="200"/>
    <n v="40"/>
    <n v="77"/>
    <n v="52"/>
    <n v="6"/>
    <d v="2024-04-14T00:00:00"/>
    <n v="25"/>
  </r>
  <r>
    <s v="P1044"/>
    <d v="2024-04-25T00:00:00"/>
    <x v="1"/>
    <s v="VIP"/>
    <d v="2024-06-02T00:00:00"/>
    <s v="Live Casino"/>
    <n v="100"/>
    <n v="50"/>
    <n v="797"/>
    <n v="410"/>
    <n v="3"/>
    <d v="2024-06-10T00:00:00"/>
    <n v="387"/>
  </r>
  <r>
    <s v="P1025"/>
    <d v="2024-06-19T00:00:00"/>
    <x v="3"/>
    <s v="Gold"/>
    <d v="2024-08-22T00:00:00"/>
    <s v="Roulette"/>
    <n v="20"/>
    <n v="0"/>
    <n v="191"/>
    <n v="169"/>
    <n v="0.6"/>
    <d v="2024-09-06T00:00:00"/>
    <n v="22"/>
  </r>
  <r>
    <s v="P1008"/>
    <d v="2024-02-16T00:00:00"/>
    <x v="4"/>
    <s v="Regular"/>
    <d v="2024-03-03T00:00:00"/>
    <s v="Live Casino"/>
    <n v="500"/>
    <n v="100"/>
    <n v="37"/>
    <n v="3"/>
    <n v="15"/>
    <d v="2024-03-25T00:00:00"/>
    <n v="34"/>
  </r>
  <r>
    <s v="P1071"/>
    <d v="2024-05-31T00:00:00"/>
    <x v="0"/>
    <s v="VIP"/>
    <d v="2024-09-07T00:00:00"/>
    <s v="Roulette"/>
    <n v="200"/>
    <n v="40"/>
    <n v="985"/>
    <n v="900"/>
    <n v="6"/>
    <d v="2024-09-23T00:00:00"/>
    <n v="85"/>
  </r>
  <r>
    <s v="P1008"/>
    <d v="2024-03-18T00:00:00"/>
    <x v="3"/>
    <s v="VIP"/>
    <d v="2024-06-07T00:00:00"/>
    <s v="Slots"/>
    <n v="0"/>
    <n v="0"/>
    <n v="347"/>
    <n v="185"/>
    <n v="0"/>
    <d v="2024-06-17T00:00:00"/>
    <n v="162"/>
  </r>
  <r>
    <s v="P1006"/>
    <d v="2024-06-27T00:00:00"/>
    <x v="2"/>
    <s v="VIP"/>
    <d v="2024-10-03T00:00:00"/>
    <s v="Slots"/>
    <n v="0"/>
    <n v="0"/>
    <n v="721"/>
    <n v="354"/>
    <n v="0"/>
    <d v="2024-10-27T00:00:00"/>
    <n v="367"/>
  </r>
  <r>
    <s v="P1002"/>
    <d v="2024-06-13T00:00:00"/>
    <x v="4"/>
    <s v="VIP"/>
    <d v="2024-08-04T00:00:00"/>
    <s v="Blackjack"/>
    <n v="0"/>
    <n v="0"/>
    <n v="405"/>
    <n v="317"/>
    <n v="0"/>
    <d v="2024-08-07T00:00:00"/>
    <n v="88"/>
  </r>
  <r>
    <s v="P1089"/>
    <d v="2024-05-26T00:00:00"/>
    <x v="4"/>
    <s v="Regular"/>
    <d v="2024-08-12T00:00:00"/>
    <s v="Blackjack"/>
    <n v="200"/>
    <n v="40"/>
    <n v="299"/>
    <n v="53"/>
    <n v="6"/>
    <d v="2024-08-19T00:00:00"/>
    <n v="246"/>
  </r>
  <r>
    <s v="P1017"/>
    <d v="2024-01-20T00:00:00"/>
    <x v="0"/>
    <s v="VIP"/>
    <d v="2024-07-18T00:00:00"/>
    <s v="Live Casino"/>
    <n v="200"/>
    <n v="0"/>
    <n v="296"/>
    <n v="219"/>
    <n v="6"/>
    <d v="2024-07-27T00:00:00"/>
    <n v="77"/>
  </r>
  <r>
    <s v="P1043"/>
    <d v="2024-01-14T00:00:00"/>
    <x v="1"/>
    <s v="Gold"/>
    <d v="2024-07-11T00:00:00"/>
    <s v="Blackjack"/>
    <n v="200"/>
    <n v="40"/>
    <n v="978"/>
    <n v="547"/>
    <n v="6"/>
    <d v="2024-07-26T00:00:00"/>
    <n v="431"/>
  </r>
  <r>
    <s v="P1014"/>
    <d v="2024-06-12T00:00:00"/>
    <x v="4"/>
    <s v="Regular"/>
    <d v="2024-07-21T00:00:00"/>
    <s v="Blackjack"/>
    <n v="50"/>
    <n v="0"/>
    <n v="387"/>
    <n v="68"/>
    <n v="1.5"/>
    <d v="2024-08-06T00:00:00"/>
    <n v="319"/>
  </r>
  <r>
    <s v="P1074"/>
    <d v="2024-05-20T00:00:00"/>
    <x v="4"/>
    <s v="VIP"/>
    <d v="2024-06-26T00:00:00"/>
    <s v="Blackjack"/>
    <n v="100"/>
    <n v="0"/>
    <n v="929"/>
    <n v="459"/>
    <n v="3"/>
    <d v="2024-07-19T00:00:00"/>
    <n v="470"/>
  </r>
  <r>
    <s v="P1000"/>
    <d v="2024-03-20T00:00:00"/>
    <x v="2"/>
    <s v="Regular"/>
    <d v="2024-04-08T00:00:00"/>
    <s v="Live Casino"/>
    <n v="100"/>
    <n v="20"/>
    <n v="813"/>
    <n v="59"/>
    <n v="3"/>
    <d v="2024-04-22T00:00:00"/>
    <n v="754"/>
  </r>
  <r>
    <s v="P1092"/>
    <d v="2024-03-19T00:00:00"/>
    <x v="3"/>
    <s v="Gold"/>
    <d v="2024-06-06T00:00:00"/>
    <s v="Slots"/>
    <n v="50"/>
    <n v="25"/>
    <n v="619"/>
    <n v="289"/>
    <n v="1.5"/>
    <d v="2024-06-08T00:00:00"/>
    <n v="330"/>
  </r>
  <r>
    <s v="P1053"/>
    <d v="2024-03-04T00:00:00"/>
    <x v="3"/>
    <s v="Gold"/>
    <d v="2024-08-03T00:00:00"/>
    <s v="Live Casino"/>
    <n v="200"/>
    <n v="40"/>
    <n v="128"/>
    <n v="23"/>
    <n v="6"/>
    <d v="2024-08-24T00:00:00"/>
    <n v="105"/>
  </r>
  <r>
    <s v="P1088"/>
    <d v="2024-04-11T00:00:00"/>
    <x v="1"/>
    <s v="Regular"/>
    <d v="2024-05-22T00:00:00"/>
    <s v="Roulette"/>
    <n v="0"/>
    <n v="0"/>
    <n v="329"/>
    <n v="84"/>
    <n v="0"/>
    <d v="2024-05-26T00:00:00"/>
    <n v="245"/>
  </r>
  <r>
    <s v="P1087"/>
    <d v="2024-04-24T00:00:00"/>
    <x v="2"/>
    <s v="Regular"/>
    <d v="2024-07-20T00:00:00"/>
    <s v="Live Casino"/>
    <n v="0"/>
    <n v="0"/>
    <n v="376"/>
    <n v="195"/>
    <n v="0"/>
    <d v="2024-08-15T00:00:00"/>
    <n v="181"/>
  </r>
  <r>
    <s v="P1057"/>
    <d v="2024-01-26T00:00:00"/>
    <x v="0"/>
    <s v="Regular"/>
    <d v="2024-06-10T00:00:00"/>
    <s v="Live Casino"/>
    <n v="200"/>
    <n v="40"/>
    <n v="401"/>
    <n v="111"/>
    <n v="6"/>
    <d v="2024-07-07T00:00:00"/>
    <n v="290"/>
  </r>
  <r>
    <s v="P1043"/>
    <d v="2024-04-21T00:00:00"/>
    <x v="1"/>
    <s v="Regular"/>
    <d v="2024-05-20T00:00:00"/>
    <s v="Blackjack"/>
    <n v="50"/>
    <n v="25"/>
    <n v="771"/>
    <n v="242"/>
    <n v="1.5"/>
    <d v="2024-05-31T00:00:00"/>
    <n v="529"/>
  </r>
  <r>
    <s v="P1026"/>
    <d v="2024-03-08T00:00:00"/>
    <x v="2"/>
    <s v="Gold"/>
    <d v="2024-06-23T00:00:00"/>
    <s v="Roulette"/>
    <n v="20"/>
    <n v="4"/>
    <n v="656"/>
    <n v="452"/>
    <n v="0.6"/>
    <d v="2024-06-24T00:00:00"/>
    <n v="204"/>
  </r>
  <r>
    <s v="P1026"/>
    <d v="2024-05-22T00:00:00"/>
    <x v="4"/>
    <s v="Regular"/>
    <d v="2024-10-24T00:00:00"/>
    <s v="Slots"/>
    <n v="0"/>
    <n v="0"/>
    <n v="79"/>
    <n v="12"/>
    <n v="0"/>
    <d v="2024-11-02T00:00:00"/>
    <n v="67"/>
  </r>
  <r>
    <s v="P1086"/>
    <d v="2024-03-08T00:00:00"/>
    <x v="4"/>
    <s v="Regular"/>
    <d v="2024-06-06T00:00:00"/>
    <s v="Slots"/>
    <n v="0"/>
    <n v="0"/>
    <n v="397"/>
    <n v="221"/>
    <n v="0"/>
    <d v="2024-06-06T00:00:00"/>
    <n v="176"/>
  </r>
  <r>
    <s v="P1016"/>
    <d v="2024-02-27T00:00:00"/>
    <x v="0"/>
    <s v="VIP"/>
    <d v="2024-05-12T00:00:00"/>
    <s v="Slots"/>
    <n v="0"/>
    <n v="0"/>
    <n v="545"/>
    <n v="110"/>
    <n v="0"/>
    <d v="2024-05-26T00:00:00"/>
    <n v="435"/>
  </r>
  <r>
    <s v="P1058"/>
    <d v="2024-04-21T00:00:00"/>
    <x v="0"/>
    <s v="VIP"/>
    <d v="2024-10-12T00:00:00"/>
    <s v="Roulette"/>
    <n v="100"/>
    <n v="0"/>
    <n v="215"/>
    <n v="13"/>
    <n v="3"/>
    <d v="2024-10-28T00:00:00"/>
    <n v="202"/>
  </r>
  <r>
    <s v="P1083"/>
    <d v="2024-05-16T00:00:00"/>
    <x v="1"/>
    <s v="Gold"/>
    <d v="2024-07-18T00:00:00"/>
    <s v="Blackjack"/>
    <n v="50"/>
    <n v="0"/>
    <n v="644"/>
    <n v="621"/>
    <n v="1.5"/>
    <d v="2024-07-22T00:00:00"/>
    <n v="23"/>
  </r>
  <r>
    <s v="P1036"/>
    <d v="2024-02-10T00:00:00"/>
    <x v="0"/>
    <s v="Gold"/>
    <d v="2024-02-17T00:00:00"/>
    <s v="Blackjack"/>
    <n v="50"/>
    <n v="25"/>
    <n v="942"/>
    <n v="191"/>
    <n v="1.5"/>
    <d v="2024-02-27T00:00:00"/>
    <n v="751"/>
  </r>
  <r>
    <s v="P1080"/>
    <d v="2024-06-11T00:00:00"/>
    <x v="1"/>
    <s v="Regular"/>
    <d v="2024-09-29T00:00:00"/>
    <s v="Live Casino"/>
    <n v="200"/>
    <n v="100"/>
    <n v="585"/>
    <n v="130"/>
    <n v="6"/>
    <d v="2024-10-02T00:00:00"/>
    <n v="455"/>
  </r>
  <r>
    <s v="P1053"/>
    <d v="2024-02-13T00:00:00"/>
    <x v="0"/>
    <s v="Gold"/>
    <d v="2024-07-06T00:00:00"/>
    <s v="Blackjack"/>
    <n v="20"/>
    <n v="0"/>
    <n v="352"/>
    <n v="99"/>
    <n v="0.6"/>
    <d v="2024-07-23T00:00:00"/>
    <n v="253"/>
  </r>
  <r>
    <s v="P1056"/>
    <d v="2024-02-27T00:00:00"/>
    <x v="3"/>
    <s v="Regular"/>
    <d v="2024-05-13T00:00:00"/>
    <s v="Roulette"/>
    <n v="0"/>
    <n v="0"/>
    <n v="619"/>
    <n v="540"/>
    <n v="0"/>
    <d v="2024-06-11T00:00:00"/>
    <n v="79"/>
  </r>
  <r>
    <s v="P1092"/>
    <d v="2024-05-06T00:00:00"/>
    <x v="3"/>
    <s v="VIP"/>
    <d v="2024-10-20T00:00:00"/>
    <s v="Slots"/>
    <n v="0"/>
    <n v="0"/>
    <n v="983"/>
    <n v="613"/>
    <n v="0"/>
    <d v="2024-11-16T00:00:00"/>
    <n v="370"/>
  </r>
  <r>
    <s v="P1007"/>
    <d v="2024-05-15T00:00:00"/>
    <x v="4"/>
    <s v="VIP"/>
    <d v="2024-07-14T00:00:00"/>
    <s v="Roulette"/>
    <n v="200"/>
    <n v="40"/>
    <n v="511"/>
    <n v="467"/>
    <n v="6"/>
    <d v="2024-07-28T00:00:00"/>
    <n v="44"/>
  </r>
  <r>
    <s v="P1004"/>
    <d v="2024-02-18T00:00:00"/>
    <x v="3"/>
    <s v="Gold"/>
    <d v="2024-08-16T00:00:00"/>
    <s v="Roulette"/>
    <n v="0"/>
    <n v="0"/>
    <n v="454"/>
    <n v="203"/>
    <n v="0"/>
    <d v="2024-09-11T00:00:00"/>
    <n v="251"/>
  </r>
  <r>
    <s v="P1021"/>
    <d v="2024-04-15T00:00:00"/>
    <x v="3"/>
    <s v="Gold"/>
    <d v="2024-06-24T00:00:00"/>
    <s v="Live Casino"/>
    <n v="200"/>
    <n v="40"/>
    <n v="812"/>
    <n v="252"/>
    <n v="6"/>
    <d v="2024-07-04T00:00:00"/>
    <n v="560"/>
  </r>
  <r>
    <s v="P1031"/>
    <d v="2024-05-03T00:00:00"/>
    <x v="0"/>
    <s v="VIP"/>
    <d v="2024-06-22T00:00:00"/>
    <s v="Roulette"/>
    <n v="200"/>
    <n v="100"/>
    <n v="855"/>
    <n v="28"/>
    <n v="6"/>
    <d v="2024-06-30T00:00:00"/>
    <n v="827"/>
  </r>
  <r>
    <s v="P1078"/>
    <d v="2024-03-31T00:00:00"/>
    <x v="3"/>
    <s v="VIP"/>
    <d v="2024-08-28T00:00:00"/>
    <s v="Blackjack"/>
    <n v="20"/>
    <n v="4"/>
    <n v="949"/>
    <n v="194"/>
    <n v="0.6"/>
    <d v="2024-09-02T00:00:00"/>
    <n v="755"/>
  </r>
  <r>
    <s v="P1017"/>
    <d v="2024-01-10T00:00:00"/>
    <x v="1"/>
    <s v="Gold"/>
    <d v="2024-02-21T00:00:00"/>
    <s v="Roulette"/>
    <n v="200"/>
    <n v="40"/>
    <n v="645"/>
    <n v="138"/>
    <n v="6"/>
    <d v="2024-03-19T00:00:00"/>
    <n v="507"/>
  </r>
  <r>
    <s v="P1043"/>
    <d v="2024-05-13T00:00:00"/>
    <x v="4"/>
    <s v="Gold"/>
    <d v="2024-11-05T00:00:00"/>
    <s v="Live Casino"/>
    <n v="500"/>
    <n v="100"/>
    <n v="122"/>
    <n v="44"/>
    <n v="15"/>
    <d v="2024-11-07T00:00:00"/>
    <n v="78"/>
  </r>
  <r>
    <s v="P1033"/>
    <d v="2024-01-02T00:00:00"/>
    <x v="0"/>
    <s v="Regular"/>
    <d v="2024-04-10T00:00:00"/>
    <s v="Slots"/>
    <n v="100"/>
    <n v="0"/>
    <n v="959"/>
    <n v="644"/>
    <n v="3"/>
    <d v="2024-04-27T00:00:00"/>
    <n v="315"/>
  </r>
  <r>
    <s v="P1062"/>
    <d v="2024-01-08T00:00:00"/>
    <x v="2"/>
    <s v="Gold"/>
    <d v="2024-05-27T00:00:00"/>
    <s v="Blackjack"/>
    <n v="500"/>
    <n v="0"/>
    <n v="169"/>
    <n v="37"/>
    <n v="15"/>
    <d v="2024-06-24T00:00:00"/>
    <n v="132"/>
  </r>
  <r>
    <s v="P1063"/>
    <d v="2024-06-12T00:00:00"/>
    <x v="3"/>
    <s v="Regular"/>
    <d v="2024-11-20T00:00:00"/>
    <s v="Live Casino"/>
    <n v="20"/>
    <n v="10"/>
    <n v="978"/>
    <n v="476"/>
    <n v="0.6"/>
    <d v="2024-12-03T00:00:00"/>
    <n v="502"/>
  </r>
  <r>
    <s v="P1031"/>
    <d v="2024-03-18T00:00:00"/>
    <x v="0"/>
    <s v="Regular"/>
    <d v="2024-09-06T00:00:00"/>
    <s v="Roulette"/>
    <n v="500"/>
    <n v="100"/>
    <n v="850"/>
    <n v="154"/>
    <n v="15"/>
    <d v="2024-10-04T00:00:00"/>
    <n v="696"/>
  </r>
  <r>
    <s v="P1030"/>
    <d v="2024-02-08T00:00:00"/>
    <x v="1"/>
    <s v="VIP"/>
    <d v="2024-05-29T00:00:00"/>
    <s v="Blackjack"/>
    <n v="50"/>
    <n v="25"/>
    <n v="571"/>
    <n v="154"/>
    <n v="1.5"/>
    <d v="2024-05-31T00:00:00"/>
    <n v="417"/>
  </r>
  <r>
    <s v="P1024"/>
    <d v="2024-06-23T00:00:00"/>
    <x v="0"/>
    <s v="Gold"/>
    <d v="2024-10-28T00:00:00"/>
    <s v="Slots"/>
    <n v="500"/>
    <n v="100"/>
    <n v="350"/>
    <n v="255"/>
    <n v="15"/>
    <d v="2024-11-25T00:00:00"/>
    <n v="95"/>
  </r>
  <r>
    <s v="P1079"/>
    <d v="2024-03-01T00:00:00"/>
    <x v="4"/>
    <s v="VIP"/>
    <d v="2024-04-02T00:00:00"/>
    <s v="Slots"/>
    <n v="0"/>
    <n v="0"/>
    <n v="370"/>
    <n v="30"/>
    <n v="0"/>
    <d v="2024-04-30T00:00:00"/>
    <n v="340"/>
  </r>
  <r>
    <s v="P1043"/>
    <d v="2024-01-17T00:00:00"/>
    <x v="3"/>
    <s v="Regular"/>
    <d v="2024-07-01T00:00:00"/>
    <s v="Live Casino"/>
    <n v="50"/>
    <n v="10"/>
    <n v="848"/>
    <n v="497"/>
    <n v="1.5"/>
    <d v="2024-07-18T00:00:00"/>
    <n v="351"/>
  </r>
  <r>
    <s v="P1024"/>
    <d v="2024-04-26T00:00:00"/>
    <x v="2"/>
    <s v="Regular"/>
    <d v="2024-09-24T00:00:00"/>
    <s v="Slots"/>
    <n v="500"/>
    <n v="250"/>
    <n v="993"/>
    <n v="987"/>
    <n v="15"/>
    <d v="2024-10-13T00:00:00"/>
    <n v="6"/>
  </r>
  <r>
    <s v="P1072"/>
    <d v="2024-03-19T00:00:00"/>
    <x v="0"/>
    <s v="Regular"/>
    <d v="2024-03-28T00:00:00"/>
    <s v="Roulette"/>
    <n v="50"/>
    <n v="0"/>
    <n v="147"/>
    <n v="21"/>
    <n v="1.5"/>
    <d v="2024-04-24T00:00:00"/>
    <n v="126"/>
  </r>
  <r>
    <s v="P1047"/>
    <d v="2024-04-27T00:00:00"/>
    <x v="4"/>
    <s v="Regular"/>
    <d v="2024-05-06T00:00:00"/>
    <s v="Blackjack"/>
    <n v="50"/>
    <n v="10"/>
    <n v="873"/>
    <n v="524"/>
    <n v="1.5"/>
    <d v="2024-05-10T00:00:00"/>
    <n v="349"/>
  </r>
  <r>
    <s v="P1035"/>
    <d v="2024-06-07T00:00:00"/>
    <x v="4"/>
    <s v="Regular"/>
    <d v="2024-08-20T00:00:00"/>
    <s v="Slots"/>
    <n v="100"/>
    <n v="50"/>
    <n v="115"/>
    <n v="107"/>
    <n v="3"/>
    <d v="2024-09-10T00:00:00"/>
    <n v="8"/>
  </r>
  <r>
    <s v="P1026"/>
    <d v="2024-06-26T00:00:00"/>
    <x v="0"/>
    <s v="Regular"/>
    <d v="2024-07-02T00:00:00"/>
    <s v="Roulette"/>
    <n v="0"/>
    <n v="0"/>
    <n v="708"/>
    <n v="316"/>
    <n v="0"/>
    <d v="2024-07-25T00:00:00"/>
    <n v="392"/>
  </r>
  <r>
    <s v="P1045"/>
    <d v="2024-03-31T00:00:00"/>
    <x v="2"/>
    <s v="Regular"/>
    <d v="2024-04-03T00:00:00"/>
    <s v="Slots"/>
    <n v="50"/>
    <n v="25"/>
    <n v="466"/>
    <n v="441"/>
    <n v="1.5"/>
    <d v="2024-05-01T00:00:00"/>
    <n v="25"/>
  </r>
  <r>
    <s v="P1029"/>
    <d v="2024-03-15T00:00:00"/>
    <x v="4"/>
    <s v="VIP"/>
    <d v="2024-09-06T00:00:00"/>
    <s v="Roulette"/>
    <n v="0"/>
    <n v="0"/>
    <n v="942"/>
    <n v="15"/>
    <n v="0"/>
    <d v="2024-09-28T00:00:00"/>
    <n v="927"/>
  </r>
  <r>
    <s v="P1040"/>
    <d v="2024-04-22T00:00:00"/>
    <x v="3"/>
    <s v="VIP"/>
    <d v="2024-09-30T00:00:00"/>
    <s v="Blackjack"/>
    <n v="500"/>
    <n v="100"/>
    <n v="249"/>
    <n v="176"/>
    <n v="15"/>
    <d v="2024-10-19T00:00:00"/>
    <n v="73"/>
  </r>
  <r>
    <s v="P1036"/>
    <d v="2024-04-16T00:00:00"/>
    <x v="4"/>
    <s v="Regular"/>
    <d v="2024-06-03T00:00:00"/>
    <s v="Roulette"/>
    <n v="20"/>
    <n v="10"/>
    <n v="376"/>
    <n v="27"/>
    <n v="0.6"/>
    <d v="2024-06-18T00:00:00"/>
    <n v="349"/>
  </r>
  <r>
    <s v="P1094"/>
    <d v="2024-05-14T00:00:00"/>
    <x v="2"/>
    <s v="VIP"/>
    <d v="2024-08-02T00:00:00"/>
    <s v="Slots"/>
    <n v="100"/>
    <n v="0"/>
    <n v="222"/>
    <n v="80"/>
    <n v="3"/>
    <d v="2024-08-16T00:00:00"/>
    <n v="142"/>
  </r>
  <r>
    <s v="P1047"/>
    <d v="2024-05-30T00:00:00"/>
    <x v="1"/>
    <s v="Regular"/>
    <d v="2024-06-07T00:00:00"/>
    <s v="Slots"/>
    <n v="200"/>
    <n v="0"/>
    <n v="571"/>
    <n v="535"/>
    <n v="6"/>
    <d v="2024-06-24T00:00:00"/>
    <n v="36"/>
  </r>
  <r>
    <s v="P1042"/>
    <d v="2024-03-19T00:00:00"/>
    <x v="4"/>
    <s v="VIP"/>
    <d v="2024-03-31T00:00:00"/>
    <s v="Live Casino"/>
    <n v="100"/>
    <n v="20"/>
    <n v="369"/>
    <n v="117"/>
    <n v="3"/>
    <d v="2024-04-19T00:00:00"/>
    <n v="252"/>
  </r>
  <r>
    <s v="P1023"/>
    <d v="2024-04-09T00:00:00"/>
    <x v="3"/>
    <s v="VIP"/>
    <d v="2024-06-30T00:00:00"/>
    <s v="Live Casino"/>
    <n v="200"/>
    <n v="40"/>
    <n v="506"/>
    <n v="290"/>
    <n v="6"/>
    <d v="2024-07-27T00:00:00"/>
    <n v="216"/>
  </r>
  <r>
    <s v="P1068"/>
    <d v="2024-01-08T00:00:00"/>
    <x v="0"/>
    <s v="VIP"/>
    <d v="2024-01-23T00:00:00"/>
    <s v="Roulette"/>
    <n v="100"/>
    <n v="20"/>
    <n v="415"/>
    <n v="163"/>
    <n v="3"/>
    <d v="2024-02-16T00:00:00"/>
    <n v="252"/>
  </r>
  <r>
    <s v="P1096"/>
    <d v="2024-02-11T00:00:00"/>
    <x v="1"/>
    <s v="Gold"/>
    <d v="2024-05-29T00:00:00"/>
    <s v="Roulette"/>
    <n v="20"/>
    <n v="4"/>
    <n v="709"/>
    <n v="577"/>
    <n v="0.6"/>
    <d v="2024-06-27T00:00:00"/>
    <n v="132"/>
  </r>
  <r>
    <s v="P1038"/>
    <d v="2024-05-13T00:00:00"/>
    <x v="1"/>
    <s v="Gold"/>
    <d v="2024-06-10T00:00:00"/>
    <s v="Live Casino"/>
    <n v="500"/>
    <n v="100"/>
    <n v="409"/>
    <n v="58"/>
    <n v="15"/>
    <d v="2024-07-01T00:00:00"/>
    <n v="351"/>
  </r>
  <r>
    <s v="P1016"/>
    <d v="2024-03-20T00:00:00"/>
    <x v="3"/>
    <s v="Regular"/>
    <d v="2024-03-24T00:00:00"/>
    <s v="Slots"/>
    <n v="100"/>
    <n v="0"/>
    <n v="305"/>
    <n v="281"/>
    <n v="3"/>
    <d v="2024-04-15T00:00:00"/>
    <n v="24"/>
  </r>
  <r>
    <s v="P1081"/>
    <d v="2024-03-18T00:00:00"/>
    <x v="4"/>
    <s v="VIP"/>
    <d v="2024-09-06T00:00:00"/>
    <s v="Slots"/>
    <n v="20"/>
    <n v="0"/>
    <n v="340"/>
    <n v="35"/>
    <n v="0.6"/>
    <d v="2024-10-02T00:00:00"/>
    <n v="305"/>
  </r>
  <r>
    <s v="P1083"/>
    <d v="2024-03-26T00:00:00"/>
    <x v="0"/>
    <s v="Regular"/>
    <d v="2024-09-07T00:00:00"/>
    <s v="Slots"/>
    <n v="500"/>
    <n v="100"/>
    <n v="531"/>
    <n v="70"/>
    <n v="15"/>
    <d v="2024-09-30T00:00:00"/>
    <n v="461"/>
  </r>
  <r>
    <s v="P1032"/>
    <d v="2024-03-23T00:00:00"/>
    <x v="4"/>
    <s v="VIP"/>
    <d v="2024-05-13T00:00:00"/>
    <s v="Blackjack"/>
    <n v="200"/>
    <n v="100"/>
    <n v="249"/>
    <n v="161"/>
    <n v="6"/>
    <d v="2024-06-04T00:00:00"/>
    <n v="88"/>
  </r>
  <r>
    <s v="P1017"/>
    <d v="2024-05-30T00:00:00"/>
    <x v="2"/>
    <s v="VIP"/>
    <d v="2024-08-28T00:00:00"/>
    <s v="Slots"/>
    <n v="100"/>
    <n v="50"/>
    <n v="740"/>
    <n v="732"/>
    <n v="3"/>
    <d v="2024-09-19T00:00:00"/>
    <n v="8"/>
  </r>
  <r>
    <s v="P1026"/>
    <d v="2024-06-26T00:00:00"/>
    <x v="2"/>
    <s v="Regular"/>
    <d v="2024-08-06T00:00:00"/>
    <s v="Blackjack"/>
    <n v="200"/>
    <n v="0"/>
    <n v="417"/>
    <n v="76"/>
    <n v="6"/>
    <d v="2024-08-17T00:00:00"/>
    <n v="341"/>
  </r>
  <r>
    <s v="P1023"/>
    <d v="2024-04-16T00:00:00"/>
    <x v="4"/>
    <s v="Gold"/>
    <d v="2024-04-21T00:00:00"/>
    <s v="Blackjack"/>
    <n v="100"/>
    <n v="0"/>
    <n v="723"/>
    <n v="202"/>
    <n v="3"/>
    <d v="2024-05-16T00:00:00"/>
    <n v="521"/>
  </r>
  <r>
    <s v="P1052"/>
    <d v="2024-03-01T00:00:00"/>
    <x v="4"/>
    <s v="Gold"/>
    <d v="2024-07-18T00:00:00"/>
    <s v="Roulette"/>
    <n v="100"/>
    <n v="0"/>
    <n v="683"/>
    <n v="225"/>
    <n v="3"/>
    <d v="2024-08-16T00:00:00"/>
    <n v="458"/>
  </r>
  <r>
    <s v="P1028"/>
    <d v="2024-04-02T00:00:00"/>
    <x v="0"/>
    <s v="Gold"/>
    <d v="2024-08-13T00:00:00"/>
    <s v="Blackjack"/>
    <n v="50"/>
    <n v="0"/>
    <n v="49"/>
    <n v="30"/>
    <n v="1.5"/>
    <d v="2024-08-21T00:00:00"/>
    <n v="19"/>
  </r>
  <r>
    <s v="P1029"/>
    <d v="2024-06-09T00:00:00"/>
    <x v="2"/>
    <s v="VIP"/>
    <d v="2024-09-27T00:00:00"/>
    <s v="Slots"/>
    <n v="100"/>
    <n v="50"/>
    <n v="249"/>
    <n v="225"/>
    <n v="3"/>
    <d v="2024-10-17T00:00:00"/>
    <n v="24"/>
  </r>
  <r>
    <s v="P1061"/>
    <d v="2024-06-18T00:00:00"/>
    <x v="3"/>
    <s v="Gold"/>
    <d v="2024-08-11T00:00:00"/>
    <s v="Roulette"/>
    <n v="500"/>
    <n v="250"/>
    <n v="184"/>
    <n v="16"/>
    <n v="15"/>
    <d v="2024-08-26T00:00:00"/>
    <n v="168"/>
  </r>
  <r>
    <s v="P1043"/>
    <d v="2024-06-11T00:00:00"/>
    <x v="2"/>
    <s v="VIP"/>
    <d v="2024-12-02T00:00:00"/>
    <s v="Roulette"/>
    <n v="500"/>
    <n v="0"/>
    <n v="784"/>
    <n v="603"/>
    <n v="15"/>
    <d v="2024-12-21T00:00:00"/>
    <n v="181"/>
  </r>
  <r>
    <s v="P1099"/>
    <d v="2024-01-17T00:00:00"/>
    <x v="3"/>
    <s v="VIP"/>
    <d v="2024-06-07T00:00:00"/>
    <s v="Blackjack"/>
    <n v="0"/>
    <n v="0"/>
    <n v="912"/>
    <n v="275"/>
    <n v="0"/>
    <d v="2024-07-03T00:00:00"/>
    <n v="637"/>
  </r>
  <r>
    <s v="P1012"/>
    <d v="2024-02-05T00:00:00"/>
    <x v="0"/>
    <s v="Gold"/>
    <d v="2024-07-25T00:00:00"/>
    <s v="Live Casino"/>
    <n v="100"/>
    <n v="0"/>
    <n v="739"/>
    <n v="153"/>
    <n v="3"/>
    <d v="2024-08-05T00:00:00"/>
    <n v="586"/>
  </r>
  <r>
    <s v="P1100"/>
    <d v="2024-03-16T00:00:00"/>
    <x v="2"/>
    <s v="Regular"/>
    <d v="2024-04-13T00:00:00"/>
    <s v="Roulette"/>
    <n v="100"/>
    <n v="0"/>
    <n v="405"/>
    <n v="242"/>
    <n v="3"/>
    <d v="2024-04-19T00:00:00"/>
    <n v="163"/>
  </r>
  <r>
    <s v="P1084"/>
    <d v="2024-03-01T00:00:00"/>
    <x v="4"/>
    <s v="Regular"/>
    <d v="2024-05-13T00:00:00"/>
    <s v="Live Casino"/>
    <n v="100"/>
    <n v="20"/>
    <n v="982"/>
    <n v="944"/>
    <n v="3"/>
    <d v="2024-06-08T00:00:00"/>
    <n v="38"/>
  </r>
  <r>
    <s v="P1075"/>
    <d v="2024-04-13T00:00:00"/>
    <x v="1"/>
    <s v="Regular"/>
    <d v="2024-08-13T00:00:00"/>
    <s v="Slots"/>
    <n v="200"/>
    <n v="100"/>
    <n v="866"/>
    <n v="620"/>
    <n v="6"/>
    <d v="2024-08-26T00:00:00"/>
    <n v="246"/>
  </r>
  <r>
    <s v="P1018"/>
    <d v="2024-03-22T00:00:00"/>
    <x v="2"/>
    <s v="Regular"/>
    <d v="2024-04-15T00:00:00"/>
    <s v="Live Casino"/>
    <n v="0"/>
    <n v="0"/>
    <n v="651"/>
    <n v="252"/>
    <n v="0"/>
    <d v="2024-04-24T00:00:00"/>
    <n v="399"/>
  </r>
  <r>
    <s v="P1028"/>
    <d v="2024-05-11T00:00:00"/>
    <x v="3"/>
    <s v="Gold"/>
    <d v="2024-10-08T00:00:00"/>
    <s v="Live Casino"/>
    <n v="500"/>
    <n v="250"/>
    <n v="893"/>
    <n v="617"/>
    <n v="15"/>
    <d v="2024-10-23T00:00:00"/>
    <n v="276"/>
  </r>
  <r>
    <s v="P1019"/>
    <d v="2024-01-18T00:00:00"/>
    <x v="2"/>
    <s v="Gold"/>
    <d v="2024-03-07T00:00:00"/>
    <s v="Slots"/>
    <n v="20"/>
    <n v="4"/>
    <n v="201"/>
    <n v="193"/>
    <n v="0.6"/>
    <d v="2024-03-25T00:00:00"/>
    <n v="8"/>
  </r>
  <r>
    <s v="P1065"/>
    <d v="2024-04-29T00:00:00"/>
    <x v="3"/>
    <s v="VIP"/>
    <d v="2024-07-28T00:00:00"/>
    <s v="Blackjack"/>
    <n v="50"/>
    <n v="10"/>
    <n v="233"/>
    <n v="53"/>
    <n v="1.5"/>
    <d v="2024-08-15T00:00:00"/>
    <n v="180"/>
  </r>
  <r>
    <s v="P1070"/>
    <d v="2024-06-01T00:00:00"/>
    <x v="0"/>
    <s v="VIP"/>
    <d v="2024-10-05T00:00:00"/>
    <s v="Roulette"/>
    <n v="20"/>
    <n v="10"/>
    <n v="355"/>
    <n v="257"/>
    <n v="0.6"/>
    <d v="2024-10-05T00:00:00"/>
    <n v="98"/>
  </r>
  <r>
    <s v="P1041"/>
    <d v="2024-04-28T00:00:00"/>
    <x v="4"/>
    <s v="Gold"/>
    <d v="2024-07-17T00:00:00"/>
    <s v="Blackjack"/>
    <n v="100"/>
    <n v="50"/>
    <n v="595"/>
    <n v="544"/>
    <n v="3"/>
    <d v="2024-07-19T00:00:00"/>
    <n v="51"/>
  </r>
  <r>
    <s v="P1041"/>
    <d v="2024-03-23T00:00:00"/>
    <x v="1"/>
    <s v="Gold"/>
    <d v="2024-07-01T00:00:00"/>
    <s v="Slots"/>
    <n v="100"/>
    <n v="20"/>
    <n v="859"/>
    <n v="465"/>
    <n v="3"/>
    <d v="2024-07-31T00:00:00"/>
    <n v="394"/>
  </r>
  <r>
    <s v="P1007"/>
    <d v="2024-02-24T00:00:00"/>
    <x v="0"/>
    <s v="VIP"/>
    <d v="2024-03-31T00:00:00"/>
    <s v="Live Casino"/>
    <n v="0"/>
    <n v="0"/>
    <n v="293"/>
    <n v="228"/>
    <n v="0"/>
    <d v="2024-04-06T00:00:00"/>
    <n v="65"/>
  </r>
  <r>
    <s v="P1078"/>
    <d v="2024-06-22T00:00:00"/>
    <x v="4"/>
    <s v="VIP"/>
    <d v="2024-11-20T00:00:00"/>
    <s v="Blackjack"/>
    <n v="20"/>
    <n v="0"/>
    <n v="105"/>
    <n v="12"/>
    <n v="0.6"/>
    <d v="2024-12-20T00:00:00"/>
    <n v="93"/>
  </r>
  <r>
    <s v="P1025"/>
    <d v="2024-04-02T00:00:00"/>
    <x v="3"/>
    <s v="Regular"/>
    <d v="2024-04-16T00:00:00"/>
    <s v="Blackjack"/>
    <n v="20"/>
    <n v="10"/>
    <n v="312"/>
    <n v="148"/>
    <n v="0.6"/>
    <d v="2024-05-08T00:00:00"/>
    <n v="164"/>
  </r>
  <r>
    <s v="P1020"/>
    <d v="2024-06-13T00:00:00"/>
    <x v="2"/>
    <s v="Gold"/>
    <d v="2024-08-06T00:00:00"/>
    <s v="Blackjack"/>
    <n v="100"/>
    <n v="20"/>
    <n v="802"/>
    <n v="268"/>
    <n v="3"/>
    <d v="2024-08-12T00:00:00"/>
    <n v="534"/>
  </r>
  <r>
    <s v="P1084"/>
    <d v="2024-02-23T00:00:00"/>
    <x v="0"/>
    <s v="Regular"/>
    <d v="2024-06-21T00:00:00"/>
    <s v="Roulette"/>
    <n v="500"/>
    <n v="0"/>
    <n v="923"/>
    <n v="558"/>
    <n v="15"/>
    <d v="2024-06-24T00:00:00"/>
    <n v="365"/>
  </r>
  <r>
    <s v="P1096"/>
    <d v="2024-05-29T00:00:00"/>
    <x v="0"/>
    <s v="Regular"/>
    <d v="2024-10-04T00:00:00"/>
    <s v="Blackjack"/>
    <n v="0"/>
    <n v="0"/>
    <n v="428"/>
    <n v="223"/>
    <n v="0"/>
    <d v="2024-10-22T00:00:00"/>
    <n v="205"/>
  </r>
  <r>
    <s v="P1038"/>
    <d v="2024-04-24T00:00:00"/>
    <x v="0"/>
    <s v="Regular"/>
    <d v="2024-08-19T00:00:00"/>
    <s v="Slots"/>
    <n v="100"/>
    <n v="50"/>
    <n v="200"/>
    <n v="192"/>
    <n v="3"/>
    <d v="2024-08-23T00:00:00"/>
    <n v="8"/>
  </r>
  <r>
    <s v="P1005"/>
    <d v="2024-04-20T00:00:00"/>
    <x v="2"/>
    <s v="Gold"/>
    <d v="2024-08-11T00:00:00"/>
    <s v="Live Casino"/>
    <n v="20"/>
    <n v="4"/>
    <n v="475"/>
    <n v="277"/>
    <n v="0.6"/>
    <d v="2024-08-23T00:00:00"/>
    <n v="198"/>
  </r>
  <r>
    <s v="P1093"/>
    <d v="2024-01-05T00:00:00"/>
    <x v="0"/>
    <s v="Regular"/>
    <d v="2024-01-11T00:00:00"/>
    <s v="Blackjack"/>
    <n v="100"/>
    <n v="0"/>
    <n v="308"/>
    <n v="47"/>
    <n v="3"/>
    <d v="2024-01-28T00:00:00"/>
    <n v="261"/>
  </r>
  <r>
    <s v="P1097"/>
    <d v="2024-02-08T00:00:00"/>
    <x v="3"/>
    <s v="Regular"/>
    <d v="2024-07-12T00:00:00"/>
    <s v="Live Casino"/>
    <n v="500"/>
    <n v="250"/>
    <n v="611"/>
    <n v="159"/>
    <n v="15"/>
    <d v="2024-07-14T00:00:00"/>
    <n v="452"/>
  </r>
  <r>
    <s v="P1068"/>
    <d v="2024-01-11T00:00:00"/>
    <x v="4"/>
    <s v="Gold"/>
    <d v="2024-02-04T00:00:00"/>
    <s v="Blackjack"/>
    <n v="50"/>
    <n v="10"/>
    <n v="395"/>
    <n v="160"/>
    <n v="1.5"/>
    <d v="2024-02-11T00:00:00"/>
    <n v="235"/>
  </r>
  <r>
    <s v="P1040"/>
    <d v="2024-02-17T00:00:00"/>
    <x v="2"/>
    <s v="VIP"/>
    <d v="2024-07-24T00:00:00"/>
    <s v="Blackjack"/>
    <n v="500"/>
    <n v="100"/>
    <n v="623"/>
    <n v="366"/>
    <n v="15"/>
    <d v="2024-08-17T00:00:00"/>
    <n v="257"/>
  </r>
  <r>
    <s v="P1075"/>
    <d v="2024-04-30T00:00:00"/>
    <x v="4"/>
    <s v="VIP"/>
    <d v="2024-07-07T00:00:00"/>
    <s v="Blackjack"/>
    <n v="500"/>
    <n v="0"/>
    <n v="464"/>
    <n v="107"/>
    <n v="15"/>
    <d v="2024-07-20T00:00:00"/>
    <n v="357"/>
  </r>
  <r>
    <s v="P1061"/>
    <d v="2024-04-19T00:00:00"/>
    <x v="4"/>
    <s v="Gold"/>
    <d v="2024-08-31T00:00:00"/>
    <s v="Slots"/>
    <n v="50"/>
    <n v="25"/>
    <n v="850"/>
    <n v="240"/>
    <n v="1.5"/>
    <d v="2024-09-26T00:00:00"/>
    <n v="610"/>
  </r>
  <r>
    <s v="P1072"/>
    <d v="2024-01-05T00:00:00"/>
    <x v="3"/>
    <s v="Regular"/>
    <d v="2024-02-08T00:00:00"/>
    <s v="Live Casino"/>
    <n v="500"/>
    <n v="100"/>
    <n v="762"/>
    <n v="616"/>
    <n v="15"/>
    <d v="2024-03-04T00:00:00"/>
    <n v="146"/>
  </r>
  <r>
    <s v="P1017"/>
    <d v="2024-01-01T00:00:00"/>
    <x v="4"/>
    <s v="Regular"/>
    <d v="2024-04-12T00:00:00"/>
    <s v="Slots"/>
    <n v="200"/>
    <n v="0"/>
    <n v="779"/>
    <n v="701"/>
    <n v="6"/>
    <d v="2024-04-28T00:00:00"/>
    <n v="78"/>
  </r>
  <r>
    <s v="P1012"/>
    <d v="2024-01-23T00:00:00"/>
    <x v="3"/>
    <s v="Gold"/>
    <d v="2024-07-15T00:00:00"/>
    <s v="Blackjack"/>
    <n v="500"/>
    <n v="0"/>
    <n v="392"/>
    <n v="232"/>
    <n v="15"/>
    <d v="2024-08-14T00:00:00"/>
    <n v="160"/>
  </r>
  <r>
    <s v="P1005"/>
    <d v="2024-06-03T00:00:00"/>
    <x v="4"/>
    <s v="Gold"/>
    <d v="2024-10-01T00:00:00"/>
    <s v="Blackjack"/>
    <n v="50"/>
    <n v="0"/>
    <n v="120"/>
    <n v="40"/>
    <n v="1.5"/>
    <d v="2024-10-03T00:00:00"/>
    <n v="80"/>
  </r>
  <r>
    <s v="P1012"/>
    <d v="2024-03-10T00:00:00"/>
    <x v="3"/>
    <s v="Regular"/>
    <d v="2024-06-20T00:00:00"/>
    <s v="Roulette"/>
    <n v="0"/>
    <n v="0"/>
    <n v="889"/>
    <n v="505"/>
    <n v="0"/>
    <d v="2024-06-24T00:00:00"/>
    <n v="384"/>
  </r>
  <r>
    <s v="P1055"/>
    <d v="2024-06-20T00:00:00"/>
    <x v="4"/>
    <s v="Regular"/>
    <d v="2024-07-18T00:00:00"/>
    <s v="Roulette"/>
    <n v="200"/>
    <n v="100"/>
    <n v="136"/>
    <n v="51"/>
    <n v="6"/>
    <d v="2024-08-16T00:00:00"/>
    <n v="85"/>
  </r>
  <r>
    <s v="P1021"/>
    <d v="2024-03-01T00:00:00"/>
    <x v="0"/>
    <s v="VIP"/>
    <d v="2024-03-07T00:00:00"/>
    <s v="Live Casino"/>
    <n v="20"/>
    <n v="10"/>
    <n v="287"/>
    <n v="228"/>
    <n v="0.6"/>
    <d v="2024-04-01T00:00:00"/>
    <n v="59"/>
  </r>
  <r>
    <s v="P1052"/>
    <d v="2024-05-02T00:00:00"/>
    <x v="4"/>
    <s v="Gold"/>
    <d v="2024-05-18T00:00:00"/>
    <s v="Live Casino"/>
    <n v="50"/>
    <n v="25"/>
    <n v="822"/>
    <n v="360"/>
    <n v="1.5"/>
    <d v="2024-05-26T00:00:00"/>
    <n v="462"/>
  </r>
  <r>
    <s v="P1068"/>
    <d v="2024-01-28T00:00:00"/>
    <x v="1"/>
    <s v="Gold"/>
    <d v="2024-06-04T00:00:00"/>
    <s v="Live Casino"/>
    <n v="20"/>
    <n v="4"/>
    <n v="414"/>
    <n v="317"/>
    <n v="0.6"/>
    <d v="2024-06-09T00:00:00"/>
    <n v="97"/>
  </r>
  <r>
    <s v="P1071"/>
    <d v="2024-03-11T00:00:00"/>
    <x v="2"/>
    <s v="Regular"/>
    <d v="2024-04-06T00:00:00"/>
    <s v="Slots"/>
    <n v="20"/>
    <n v="10"/>
    <n v="14"/>
    <n v="6"/>
    <n v="0.6"/>
    <d v="2024-04-21T00:00:00"/>
    <n v="8"/>
  </r>
  <r>
    <s v="P1063"/>
    <d v="2024-03-05T00:00:00"/>
    <x v="4"/>
    <s v="Regular"/>
    <d v="2024-07-16T00:00:00"/>
    <s v="Blackjack"/>
    <n v="100"/>
    <n v="0"/>
    <n v="433"/>
    <n v="164"/>
    <n v="3"/>
    <d v="2024-07-29T00:00:00"/>
    <n v="269"/>
  </r>
  <r>
    <s v="P1038"/>
    <d v="2024-04-22T00:00:00"/>
    <x v="0"/>
    <s v="Regular"/>
    <d v="2024-08-16T00:00:00"/>
    <s v="Slots"/>
    <n v="100"/>
    <n v="0"/>
    <n v="90"/>
    <n v="31"/>
    <n v="3"/>
    <d v="2024-09-05T00:00:00"/>
    <n v="59"/>
  </r>
  <r>
    <s v="P1064"/>
    <d v="2024-02-22T00:00:00"/>
    <x v="2"/>
    <s v="Gold"/>
    <d v="2024-08-16T00:00:00"/>
    <s v="Live Casino"/>
    <n v="50"/>
    <n v="25"/>
    <n v="1000"/>
    <n v="320"/>
    <n v="1.5"/>
    <d v="2024-08-26T00:00:00"/>
    <n v="680"/>
  </r>
  <r>
    <s v="P1013"/>
    <d v="2024-03-28T00:00:00"/>
    <x v="4"/>
    <s v="Gold"/>
    <d v="2024-08-01T00:00:00"/>
    <s v="Blackjack"/>
    <n v="200"/>
    <n v="0"/>
    <n v="446"/>
    <n v="374"/>
    <n v="6"/>
    <d v="2024-08-29T00:00:00"/>
    <n v="72"/>
  </r>
  <r>
    <s v="P1027"/>
    <d v="2024-01-27T00:00:00"/>
    <x v="0"/>
    <s v="VIP"/>
    <d v="2024-06-20T00:00:00"/>
    <s v="Slots"/>
    <n v="200"/>
    <n v="100"/>
    <n v="114"/>
    <n v="43"/>
    <n v="6"/>
    <d v="2024-07-14T00:00:00"/>
    <n v="71"/>
  </r>
  <r>
    <s v="P1061"/>
    <d v="2024-06-23T00:00:00"/>
    <x v="4"/>
    <s v="Regular"/>
    <d v="2024-09-26T00:00:00"/>
    <s v="Live Casino"/>
    <n v="0"/>
    <n v="0"/>
    <n v="72"/>
    <n v="67"/>
    <n v="0"/>
    <d v="2024-10-21T00:00:00"/>
    <n v="5"/>
  </r>
  <r>
    <s v="P1075"/>
    <d v="2024-03-17T00:00:00"/>
    <x v="1"/>
    <s v="Gold"/>
    <d v="2024-05-18T00:00:00"/>
    <s v="Slots"/>
    <n v="20"/>
    <n v="10"/>
    <n v="803"/>
    <n v="342"/>
    <n v="0.6"/>
    <d v="2024-05-25T00:00:00"/>
    <n v="461"/>
  </r>
  <r>
    <s v="P1022"/>
    <d v="2024-06-29T00:00:00"/>
    <x v="1"/>
    <s v="VIP"/>
    <d v="2024-10-21T00:00:00"/>
    <s v="Slots"/>
    <n v="200"/>
    <n v="40"/>
    <n v="62"/>
    <n v="10"/>
    <n v="6"/>
    <d v="2024-11-07T00:00:00"/>
    <n v="52"/>
  </r>
  <r>
    <s v="P1029"/>
    <d v="2024-05-06T00:00:00"/>
    <x v="4"/>
    <s v="Regular"/>
    <d v="2024-05-13T00:00:00"/>
    <s v="Blackjack"/>
    <n v="200"/>
    <n v="0"/>
    <n v="141"/>
    <n v="86"/>
    <n v="6"/>
    <d v="2024-05-20T00:00:00"/>
    <n v="55"/>
  </r>
  <r>
    <s v="P1041"/>
    <d v="2024-03-25T00:00:00"/>
    <x v="3"/>
    <s v="VIP"/>
    <d v="2024-07-04T00:00:00"/>
    <s v="Live Casino"/>
    <n v="200"/>
    <n v="40"/>
    <n v="584"/>
    <n v="446"/>
    <n v="6"/>
    <d v="2024-07-18T00:00:00"/>
    <n v="138"/>
  </r>
  <r>
    <s v="P1078"/>
    <d v="2024-04-29T00:00:00"/>
    <x v="1"/>
    <s v="VIP"/>
    <d v="2024-07-17T00:00:00"/>
    <s v="Live Casino"/>
    <n v="0"/>
    <n v="0"/>
    <n v="564"/>
    <n v="410"/>
    <n v="0"/>
    <d v="2024-07-29T00:00:00"/>
    <n v="154"/>
  </r>
  <r>
    <s v="P1059"/>
    <d v="2024-04-17T00:00:00"/>
    <x v="1"/>
    <s v="Gold"/>
    <d v="2024-06-14T00:00:00"/>
    <s v="Roulette"/>
    <n v="500"/>
    <n v="250"/>
    <n v="560"/>
    <n v="216"/>
    <n v="15"/>
    <d v="2024-06-16T00:00:00"/>
    <n v="344"/>
  </r>
  <r>
    <s v="P1044"/>
    <d v="2024-02-22T00:00:00"/>
    <x v="1"/>
    <s v="Regular"/>
    <d v="2024-03-10T00:00:00"/>
    <s v="Roulette"/>
    <n v="0"/>
    <n v="0"/>
    <n v="209"/>
    <n v="156"/>
    <n v="0"/>
    <d v="2024-03-14T00:00:00"/>
    <n v="53"/>
  </r>
  <r>
    <s v="P1066"/>
    <d v="2024-04-11T00:00:00"/>
    <x v="4"/>
    <s v="VIP"/>
    <d v="2024-10-03T00:00:00"/>
    <s v="Blackjack"/>
    <n v="0"/>
    <n v="0"/>
    <n v="351"/>
    <n v="195"/>
    <n v="0"/>
    <d v="2024-10-28T00:00:00"/>
    <n v="156"/>
  </r>
  <r>
    <s v="P1090"/>
    <d v="2024-01-14T00:00:00"/>
    <x v="0"/>
    <s v="Gold"/>
    <d v="2024-03-06T00:00:00"/>
    <s v="Slots"/>
    <n v="20"/>
    <n v="0"/>
    <n v="714"/>
    <n v="13"/>
    <n v="0.6"/>
    <d v="2024-04-02T00:00:00"/>
    <n v="701"/>
  </r>
  <r>
    <s v="P1049"/>
    <d v="2024-06-01T00:00:00"/>
    <x v="3"/>
    <s v="Gold"/>
    <d v="2024-10-08T00:00:00"/>
    <s v="Live Casino"/>
    <n v="500"/>
    <n v="0"/>
    <n v="336"/>
    <n v="284"/>
    <n v="15"/>
    <d v="2024-10-29T00:00:00"/>
    <n v="52"/>
  </r>
  <r>
    <s v="P1042"/>
    <d v="2024-01-19T00:00:00"/>
    <x v="3"/>
    <s v="Gold"/>
    <d v="2024-06-30T00:00:00"/>
    <s v="Roulette"/>
    <n v="500"/>
    <n v="100"/>
    <n v="648"/>
    <n v="333"/>
    <n v="15"/>
    <d v="2024-07-05T00:00:00"/>
    <n v="315"/>
  </r>
  <r>
    <s v="P1082"/>
    <d v="2024-06-24T00:00:00"/>
    <x v="3"/>
    <s v="Gold"/>
    <d v="2024-09-08T00:00:00"/>
    <s v="Roulette"/>
    <n v="500"/>
    <n v="250"/>
    <n v="417"/>
    <n v="304"/>
    <n v="15"/>
    <d v="2024-09-13T00:00:00"/>
    <n v="113"/>
  </r>
  <r>
    <s v="P1022"/>
    <d v="2024-01-16T00:00:00"/>
    <x v="0"/>
    <s v="Gold"/>
    <d v="2024-05-01T00:00:00"/>
    <s v="Blackjack"/>
    <n v="20"/>
    <n v="0"/>
    <n v="728"/>
    <n v="59"/>
    <n v="0.6"/>
    <d v="2024-05-14T00:00:00"/>
    <n v="669"/>
  </r>
  <r>
    <s v="P1077"/>
    <d v="2024-06-05T00:00:00"/>
    <x v="0"/>
    <s v="Gold"/>
    <d v="2024-12-01T00:00:00"/>
    <s v="Live Casino"/>
    <n v="200"/>
    <n v="40"/>
    <n v="783"/>
    <n v="72"/>
    <n v="6"/>
    <d v="2024-12-24T00:00:00"/>
    <n v="711"/>
  </r>
  <r>
    <s v="P1039"/>
    <d v="2024-01-14T00:00:00"/>
    <x v="4"/>
    <s v="VIP"/>
    <d v="2024-01-21T00:00:00"/>
    <s v="Blackjack"/>
    <n v="50"/>
    <n v="0"/>
    <n v="161"/>
    <n v="117"/>
    <n v="1.5"/>
    <d v="2024-02-07T00:00:00"/>
    <n v="44"/>
  </r>
  <r>
    <s v="P1041"/>
    <d v="2024-01-09T00:00:00"/>
    <x v="4"/>
    <s v="Gold"/>
    <d v="2024-04-16T00:00:00"/>
    <s v="Roulette"/>
    <n v="500"/>
    <n v="100"/>
    <n v="27"/>
    <n v="20"/>
    <n v="15"/>
    <d v="2024-05-13T00:00:00"/>
    <n v="7"/>
  </r>
  <r>
    <s v="P1006"/>
    <d v="2024-01-23T00:00:00"/>
    <x v="0"/>
    <s v="Regular"/>
    <d v="2024-05-08T00:00:00"/>
    <s v="Live Casino"/>
    <n v="0"/>
    <n v="0"/>
    <n v="175"/>
    <n v="109"/>
    <n v="0"/>
    <d v="2024-05-11T00:00:00"/>
    <n v="66"/>
  </r>
  <r>
    <s v="P1087"/>
    <d v="2024-04-10T00:00:00"/>
    <x v="0"/>
    <s v="Gold"/>
    <d v="2024-05-01T00:00:00"/>
    <s v="Slots"/>
    <n v="0"/>
    <n v="0"/>
    <n v="481"/>
    <n v="10"/>
    <n v="0"/>
    <d v="2024-05-26T00:00:00"/>
    <n v="471"/>
  </r>
  <r>
    <s v="P1009"/>
    <d v="2024-05-24T00:00:00"/>
    <x v="3"/>
    <s v="Regular"/>
    <d v="2024-10-02T00:00:00"/>
    <s v="Roulette"/>
    <n v="500"/>
    <n v="250"/>
    <n v="661"/>
    <n v="216"/>
    <n v="15"/>
    <d v="2024-10-30T00:00:00"/>
    <n v="445"/>
  </r>
  <r>
    <s v="P1060"/>
    <d v="2024-06-05T00:00:00"/>
    <x v="2"/>
    <s v="Regular"/>
    <d v="2024-06-08T00:00:00"/>
    <s v="Live Casino"/>
    <n v="100"/>
    <n v="0"/>
    <n v="391"/>
    <n v="275"/>
    <n v="3"/>
    <d v="2024-06-17T00:00:00"/>
    <n v="116"/>
  </r>
  <r>
    <s v="P1051"/>
    <d v="2024-03-04T00:00:00"/>
    <x v="3"/>
    <s v="Regular"/>
    <d v="2024-08-08T00:00:00"/>
    <s v="Live Casino"/>
    <n v="500"/>
    <n v="250"/>
    <n v="888"/>
    <n v="65"/>
    <n v="15"/>
    <d v="2024-08-31T00:00:00"/>
    <n v="823"/>
  </r>
  <r>
    <s v="P1049"/>
    <d v="2024-01-24T00:00:00"/>
    <x v="0"/>
    <s v="Regular"/>
    <d v="2024-02-21T00:00:00"/>
    <s v="Slots"/>
    <n v="50"/>
    <n v="10"/>
    <n v="252"/>
    <n v="244"/>
    <n v="1.5"/>
    <d v="2024-03-14T00:00:00"/>
    <n v="8"/>
  </r>
  <r>
    <s v="P1100"/>
    <d v="2024-06-29T00:00:00"/>
    <x v="1"/>
    <s v="VIP"/>
    <d v="2024-08-24T00:00:00"/>
    <s v="Roulette"/>
    <n v="0"/>
    <n v="0"/>
    <n v="728"/>
    <n v="396"/>
    <n v="0"/>
    <d v="2024-09-22T00:00:00"/>
    <n v="332"/>
  </r>
  <r>
    <s v="P1038"/>
    <d v="2024-06-15T00:00:00"/>
    <x v="3"/>
    <s v="VIP"/>
    <d v="2024-10-21T00:00:00"/>
    <s v="Slots"/>
    <n v="50"/>
    <n v="0"/>
    <n v="543"/>
    <n v="174"/>
    <n v="1.5"/>
    <d v="2024-11-07T00:00:00"/>
    <n v="369"/>
  </r>
  <r>
    <s v="P1084"/>
    <d v="2024-03-12T00:00:00"/>
    <x v="3"/>
    <s v="Gold"/>
    <d v="2024-05-05T00:00:00"/>
    <s v="Roulette"/>
    <n v="200"/>
    <n v="100"/>
    <n v="601"/>
    <n v="494"/>
    <n v="6"/>
    <d v="2024-05-20T00:00:00"/>
    <n v="107"/>
  </r>
  <r>
    <s v="P1084"/>
    <d v="2024-01-24T00:00:00"/>
    <x v="0"/>
    <s v="Gold"/>
    <d v="2024-04-12T00:00:00"/>
    <s v="Roulette"/>
    <n v="200"/>
    <n v="40"/>
    <n v="474"/>
    <n v="102"/>
    <n v="6"/>
    <d v="2024-04-23T00:00:00"/>
    <n v="372"/>
  </r>
  <r>
    <s v="P1049"/>
    <d v="2024-06-10T00:00:00"/>
    <x v="0"/>
    <s v="Gold"/>
    <d v="2024-08-18T00:00:00"/>
    <s v="Blackjack"/>
    <n v="100"/>
    <n v="50"/>
    <n v="552"/>
    <n v="243"/>
    <n v="3"/>
    <d v="2024-09-14T00:00:00"/>
    <n v="309"/>
  </r>
  <r>
    <s v="P1074"/>
    <d v="2024-06-04T00:00:00"/>
    <x v="1"/>
    <s v="VIP"/>
    <d v="2024-11-20T00:00:00"/>
    <s v="Blackjack"/>
    <n v="100"/>
    <n v="50"/>
    <n v="387"/>
    <n v="320"/>
    <n v="3"/>
    <d v="2024-12-03T00:00:00"/>
    <n v="67"/>
  </r>
  <r>
    <s v="P1024"/>
    <d v="2024-04-21T00:00:00"/>
    <x v="4"/>
    <s v="Regular"/>
    <d v="2024-06-22T00:00:00"/>
    <s v="Blackjack"/>
    <n v="20"/>
    <n v="4"/>
    <n v="832"/>
    <n v="424"/>
    <n v="0.6"/>
    <d v="2024-07-12T00:00:00"/>
    <n v="408"/>
  </r>
  <r>
    <s v="P1063"/>
    <d v="2024-05-30T00:00:00"/>
    <x v="1"/>
    <s v="Gold"/>
    <d v="2024-10-22T00:00:00"/>
    <s v="Live Casino"/>
    <n v="20"/>
    <n v="0"/>
    <n v="294"/>
    <n v="169"/>
    <n v="0.6"/>
    <d v="2024-11-16T00:00:00"/>
    <n v="125"/>
  </r>
  <r>
    <s v="P1033"/>
    <d v="2024-01-19T00:00:00"/>
    <x v="4"/>
    <s v="Gold"/>
    <d v="2024-02-22T00:00:00"/>
    <s v="Live Casino"/>
    <n v="0"/>
    <n v="0"/>
    <n v="645"/>
    <n v="53"/>
    <n v="0"/>
    <d v="2024-03-16T00:00:00"/>
    <n v="592"/>
  </r>
  <r>
    <s v="P1069"/>
    <d v="2024-04-23T00:00:00"/>
    <x v="3"/>
    <s v="VIP"/>
    <d v="2024-07-29T00:00:00"/>
    <s v="Roulette"/>
    <n v="50"/>
    <n v="25"/>
    <n v="384"/>
    <n v="338"/>
    <n v="1.5"/>
    <d v="2024-08-07T00:00:00"/>
    <n v="46"/>
  </r>
  <r>
    <s v="P1058"/>
    <d v="2024-06-27T00:00:00"/>
    <x v="2"/>
    <s v="VIP"/>
    <d v="2024-10-15T00:00:00"/>
    <s v="Live Casino"/>
    <n v="200"/>
    <n v="40"/>
    <n v="997"/>
    <n v="815"/>
    <n v="6"/>
    <d v="2024-11-08T00:00:00"/>
    <n v="182"/>
  </r>
  <r>
    <s v="P1092"/>
    <d v="2024-04-01T00:00:00"/>
    <x v="2"/>
    <s v="Regular"/>
    <d v="2024-07-31T00:00:00"/>
    <s v="Roulette"/>
    <n v="50"/>
    <n v="0"/>
    <n v="375"/>
    <n v="9"/>
    <n v="1.5"/>
    <d v="2024-08-03T00:00:00"/>
    <n v="366"/>
  </r>
  <r>
    <s v="P1060"/>
    <d v="2024-03-20T00:00:00"/>
    <x v="3"/>
    <s v="Gold"/>
    <d v="2024-03-30T00:00:00"/>
    <s v="Slots"/>
    <n v="50"/>
    <n v="0"/>
    <n v="669"/>
    <n v="625"/>
    <n v="1.5"/>
    <d v="2024-04-18T00:00:00"/>
    <n v="44"/>
  </r>
  <r>
    <s v="P1077"/>
    <d v="2024-01-01T00:00:00"/>
    <x v="4"/>
    <s v="VIP"/>
    <d v="2024-03-10T00:00:00"/>
    <s v="Live Casino"/>
    <n v="50"/>
    <n v="25"/>
    <n v="441"/>
    <n v="363"/>
    <n v="1.5"/>
    <d v="2024-03-13T00:00:00"/>
    <n v="78"/>
  </r>
  <r>
    <s v="P1026"/>
    <d v="2024-06-28T00:00:00"/>
    <x v="0"/>
    <s v="VIP"/>
    <d v="2024-07-24T00:00:00"/>
    <s v="Live Casino"/>
    <n v="500"/>
    <n v="100"/>
    <n v="732"/>
    <n v="536"/>
    <n v="15"/>
    <d v="2024-08-19T00:00:00"/>
    <n v="196"/>
  </r>
  <r>
    <s v="P1067"/>
    <d v="2024-01-17T00:00:00"/>
    <x v="1"/>
    <s v="Regular"/>
    <d v="2024-05-03T00:00:00"/>
    <s v="Live Casino"/>
    <n v="200"/>
    <n v="100"/>
    <n v="972"/>
    <n v="94"/>
    <n v="6"/>
    <d v="2024-06-02T00:00:00"/>
    <n v="878"/>
  </r>
  <r>
    <s v="P1036"/>
    <d v="2024-04-03T00:00:00"/>
    <x v="1"/>
    <s v="Regular"/>
    <d v="2024-06-21T00:00:00"/>
    <s v="Slots"/>
    <n v="200"/>
    <n v="40"/>
    <n v="846"/>
    <n v="305"/>
    <n v="6"/>
    <d v="2024-07-02T00:00:00"/>
    <n v="541"/>
  </r>
  <r>
    <s v="P1000"/>
    <d v="2024-05-14T00:00:00"/>
    <x v="2"/>
    <s v="VIP"/>
    <d v="2024-06-16T00:00:00"/>
    <s v="Blackjack"/>
    <n v="200"/>
    <n v="100"/>
    <n v="976"/>
    <n v="826"/>
    <n v="6"/>
    <d v="2024-07-10T00:00:00"/>
    <n v="150"/>
  </r>
  <r>
    <s v="P1056"/>
    <d v="2024-04-30T00:00:00"/>
    <x v="4"/>
    <s v="Regular"/>
    <d v="2024-09-17T00:00:00"/>
    <s v="Live Casino"/>
    <n v="0"/>
    <n v="0"/>
    <n v="262"/>
    <n v="168"/>
    <n v="0"/>
    <d v="2024-09-22T00:00:00"/>
    <n v="94"/>
  </r>
  <r>
    <s v="P1006"/>
    <d v="2024-02-09T00:00:00"/>
    <x v="0"/>
    <s v="Gold"/>
    <d v="2024-07-21T00:00:00"/>
    <s v="Live Casino"/>
    <n v="500"/>
    <n v="100"/>
    <n v="27"/>
    <n v="3"/>
    <n v="15"/>
    <d v="2024-08-05T00:00:00"/>
    <n v="24"/>
  </r>
  <r>
    <s v="P1014"/>
    <d v="2024-05-23T00:00:00"/>
    <x v="1"/>
    <s v="Gold"/>
    <d v="2024-09-16T00:00:00"/>
    <s v="Live Casino"/>
    <n v="50"/>
    <n v="10"/>
    <n v="492"/>
    <n v="371"/>
    <n v="1.5"/>
    <d v="2024-10-12T00:00:00"/>
    <n v="121"/>
  </r>
  <r>
    <s v="P1046"/>
    <d v="2024-03-01T00:00:00"/>
    <x v="1"/>
    <s v="VIP"/>
    <d v="2024-07-13T00:00:00"/>
    <s v="Live Casino"/>
    <n v="500"/>
    <n v="250"/>
    <n v="936"/>
    <n v="306"/>
    <n v="15"/>
    <d v="2024-07-25T00:00:00"/>
    <n v="630"/>
  </r>
  <r>
    <s v="P1020"/>
    <d v="2024-06-25T00:00:00"/>
    <x v="4"/>
    <s v="VIP"/>
    <d v="2024-07-29T00:00:00"/>
    <s v="Slots"/>
    <n v="100"/>
    <n v="20"/>
    <n v="290"/>
    <n v="216"/>
    <n v="3"/>
    <d v="2024-07-31T00:00:00"/>
    <n v="74"/>
  </r>
  <r>
    <s v="P1063"/>
    <d v="2024-04-06T00:00:00"/>
    <x v="2"/>
    <s v="VIP"/>
    <d v="2024-08-18T00:00:00"/>
    <s v="Slots"/>
    <n v="100"/>
    <n v="0"/>
    <n v="798"/>
    <n v="238"/>
    <n v="3"/>
    <d v="2024-08-18T00:00:00"/>
    <n v="560"/>
  </r>
  <r>
    <s v="P1019"/>
    <d v="2024-04-09T00:00:00"/>
    <x v="3"/>
    <s v="VIP"/>
    <d v="2024-06-01T00:00:00"/>
    <s v="Slots"/>
    <n v="200"/>
    <n v="100"/>
    <n v="591"/>
    <n v="386"/>
    <n v="6"/>
    <d v="2024-06-23T00:00:00"/>
    <n v="205"/>
  </r>
  <r>
    <s v="P1056"/>
    <d v="2024-06-25T00:00:00"/>
    <x v="3"/>
    <s v="Regular"/>
    <d v="2024-12-10T00:00:00"/>
    <s v="Roulette"/>
    <n v="20"/>
    <n v="0"/>
    <n v="502"/>
    <n v="185"/>
    <n v="0.6"/>
    <d v="2024-12-20T00:00:00"/>
    <n v="317"/>
  </r>
  <r>
    <s v="P1015"/>
    <d v="2024-01-26T00:00:00"/>
    <x v="4"/>
    <s v="Gold"/>
    <d v="2024-07-09T00:00:00"/>
    <s v="Live Casino"/>
    <n v="20"/>
    <n v="0"/>
    <n v="899"/>
    <n v="100"/>
    <n v="0.6"/>
    <d v="2024-07-26T00:00:00"/>
    <n v="799"/>
  </r>
  <r>
    <s v="P1092"/>
    <d v="2024-04-09T00:00:00"/>
    <x v="1"/>
    <s v="VIP"/>
    <d v="2024-08-22T00:00:00"/>
    <s v="Live Casino"/>
    <n v="100"/>
    <n v="20"/>
    <n v="974"/>
    <n v="666"/>
    <n v="3"/>
    <d v="2024-08-28T00:00:00"/>
    <n v="308"/>
  </r>
  <r>
    <s v="P1038"/>
    <d v="2024-02-14T00:00:00"/>
    <x v="4"/>
    <s v="VIP"/>
    <d v="2024-03-12T00:00:00"/>
    <s v="Slots"/>
    <n v="0"/>
    <n v="0"/>
    <n v="444"/>
    <n v="269"/>
    <n v="0"/>
    <d v="2024-04-10T00:00:00"/>
    <n v="175"/>
  </r>
  <r>
    <s v="P1091"/>
    <d v="2024-05-21T00:00:00"/>
    <x v="0"/>
    <s v="Regular"/>
    <d v="2024-06-05T00:00:00"/>
    <s v="Roulette"/>
    <n v="200"/>
    <n v="40"/>
    <n v="75"/>
    <n v="66"/>
    <n v="6"/>
    <d v="2024-06-12T00:00:00"/>
    <n v="9"/>
  </r>
  <r>
    <s v="P1043"/>
    <d v="2024-01-12T00:00:00"/>
    <x v="0"/>
    <s v="VIP"/>
    <d v="2024-02-09T00:00:00"/>
    <s v="Live Casino"/>
    <n v="50"/>
    <n v="25"/>
    <n v="143"/>
    <n v="50"/>
    <n v="1.5"/>
    <d v="2024-03-05T00:00:00"/>
    <n v="93"/>
  </r>
  <r>
    <s v="P1033"/>
    <d v="2024-02-16T00:00:00"/>
    <x v="4"/>
    <s v="Gold"/>
    <d v="2024-03-22T00:00:00"/>
    <s v="Slots"/>
    <n v="200"/>
    <n v="0"/>
    <n v="919"/>
    <n v="861"/>
    <n v="6"/>
    <d v="2024-04-04T00:00:00"/>
    <n v="58"/>
  </r>
  <r>
    <s v="P1079"/>
    <d v="2024-05-23T00:00:00"/>
    <x v="4"/>
    <s v="Regular"/>
    <d v="2024-08-21T00:00:00"/>
    <s v="Live Casino"/>
    <n v="200"/>
    <n v="40"/>
    <n v="744"/>
    <n v="744"/>
    <n v="6"/>
    <d v="2024-08-26T00:00:00"/>
    <n v="0"/>
  </r>
  <r>
    <s v="P1099"/>
    <d v="2024-04-30T00:00:00"/>
    <x v="0"/>
    <s v="Regular"/>
    <d v="2024-05-02T00:00:00"/>
    <s v="Slots"/>
    <n v="20"/>
    <n v="10"/>
    <n v="999"/>
    <n v="174"/>
    <n v="0.6"/>
    <d v="2024-05-13T00:00:00"/>
    <n v="825"/>
  </r>
  <r>
    <s v="P1050"/>
    <d v="2024-03-25T00:00:00"/>
    <x v="0"/>
    <s v="Gold"/>
    <d v="2024-07-20T00:00:00"/>
    <s v="Live Casino"/>
    <n v="200"/>
    <n v="40"/>
    <n v="266"/>
    <n v="179"/>
    <n v="6"/>
    <d v="2024-08-06T00:00:00"/>
    <n v="87"/>
  </r>
  <r>
    <s v="P1034"/>
    <d v="2024-05-26T00:00:00"/>
    <x v="3"/>
    <s v="Regular"/>
    <d v="2024-06-16T00:00:00"/>
    <s v="Slots"/>
    <n v="0"/>
    <n v="0"/>
    <n v="878"/>
    <n v="124"/>
    <n v="0"/>
    <d v="2024-07-16T00:00:00"/>
    <n v="754"/>
  </r>
  <r>
    <s v="P1032"/>
    <d v="2024-04-10T00:00:00"/>
    <x v="0"/>
    <s v="Regular"/>
    <d v="2024-04-20T00:00:00"/>
    <s v="Roulette"/>
    <n v="50"/>
    <n v="25"/>
    <n v="788"/>
    <n v="620"/>
    <n v="1.5"/>
    <d v="2024-04-21T00:00:00"/>
    <n v="168"/>
  </r>
  <r>
    <s v="P1003"/>
    <d v="2024-05-07T00:00:00"/>
    <x v="4"/>
    <s v="Regular"/>
    <d v="2024-06-19T00:00:00"/>
    <s v="Slots"/>
    <n v="20"/>
    <n v="4"/>
    <n v="147"/>
    <n v="74"/>
    <n v="0.6"/>
    <d v="2024-06-28T00:00:00"/>
    <n v="73"/>
  </r>
  <r>
    <s v="P1023"/>
    <d v="2024-01-28T00:00:00"/>
    <x v="3"/>
    <s v="VIP"/>
    <d v="2024-02-10T00:00:00"/>
    <s v="Roulette"/>
    <n v="200"/>
    <n v="0"/>
    <n v="276"/>
    <n v="129"/>
    <n v="6"/>
    <d v="2024-02-18T00:00:00"/>
    <n v="147"/>
  </r>
  <r>
    <s v="P1068"/>
    <d v="2024-04-06T00:00:00"/>
    <x v="1"/>
    <s v="VIP"/>
    <d v="2024-07-27T00:00:00"/>
    <s v="Slots"/>
    <n v="100"/>
    <n v="50"/>
    <n v="300"/>
    <n v="67"/>
    <n v="3"/>
    <d v="2024-08-15T00:00:00"/>
    <n v="233"/>
  </r>
  <r>
    <s v="P1015"/>
    <d v="2024-02-13T00:00:00"/>
    <x v="2"/>
    <s v="VIP"/>
    <d v="2024-08-08T00:00:00"/>
    <s v="Slots"/>
    <n v="20"/>
    <n v="4"/>
    <n v="91"/>
    <n v="56"/>
    <n v="0.6"/>
    <d v="2024-08-23T00:00:00"/>
    <n v="35"/>
  </r>
  <r>
    <s v="P1046"/>
    <d v="2024-06-19T00:00:00"/>
    <x v="1"/>
    <s v="Gold"/>
    <d v="2024-07-11T00:00:00"/>
    <s v="Slots"/>
    <n v="20"/>
    <n v="0"/>
    <n v="377"/>
    <n v="148"/>
    <n v="0.6"/>
    <d v="2024-08-01T00:00:00"/>
    <n v="229"/>
  </r>
  <r>
    <s v="P1087"/>
    <d v="2024-02-25T00:00:00"/>
    <x v="3"/>
    <s v="Regular"/>
    <d v="2024-04-13T00:00:00"/>
    <s v="Live Casino"/>
    <n v="100"/>
    <n v="50"/>
    <n v="484"/>
    <n v="272"/>
    <n v="3"/>
    <d v="2024-05-06T00:00:00"/>
    <n v="212"/>
  </r>
  <r>
    <s v="P1058"/>
    <d v="2024-03-16T00:00:00"/>
    <x v="4"/>
    <s v="VIP"/>
    <d v="2024-06-08T00:00:00"/>
    <s v="Blackjack"/>
    <n v="100"/>
    <n v="0"/>
    <n v="360"/>
    <n v="113"/>
    <n v="3"/>
    <d v="2024-07-06T00:00:00"/>
    <n v="247"/>
  </r>
  <r>
    <s v="P1083"/>
    <d v="2024-04-07T00:00:00"/>
    <x v="0"/>
    <s v="VIP"/>
    <d v="2024-08-10T00:00:00"/>
    <s v="Slots"/>
    <n v="500"/>
    <n v="100"/>
    <n v="140"/>
    <n v="130"/>
    <n v="15"/>
    <d v="2024-09-04T00:00:00"/>
    <n v="10"/>
  </r>
  <r>
    <s v="P1076"/>
    <d v="2024-03-27T00:00:00"/>
    <x v="3"/>
    <s v="VIP"/>
    <d v="2024-07-11T00:00:00"/>
    <s v="Live Casino"/>
    <n v="100"/>
    <n v="50"/>
    <n v="288"/>
    <n v="240"/>
    <n v="3"/>
    <d v="2024-08-04T00:00:00"/>
    <n v="48"/>
  </r>
  <r>
    <s v="P1045"/>
    <d v="2024-04-01T00:00:00"/>
    <x v="4"/>
    <s v="Regular"/>
    <d v="2024-08-01T00:00:00"/>
    <s v="Slots"/>
    <n v="0"/>
    <n v="0"/>
    <n v="730"/>
    <n v="714"/>
    <n v="0"/>
    <d v="2024-08-13T00:00:00"/>
    <n v="16"/>
  </r>
  <r>
    <s v="P1007"/>
    <d v="2024-02-21T00:00:00"/>
    <x v="0"/>
    <s v="Gold"/>
    <d v="2024-05-21T00:00:00"/>
    <s v="Blackjack"/>
    <n v="50"/>
    <n v="10"/>
    <n v="534"/>
    <n v="402"/>
    <n v="1.5"/>
    <d v="2024-06-09T00:00:00"/>
    <n v="132"/>
  </r>
  <r>
    <s v="P1084"/>
    <d v="2024-05-18T00:00:00"/>
    <x v="4"/>
    <s v="Gold"/>
    <d v="2024-09-25T00:00:00"/>
    <s v="Roulette"/>
    <n v="0"/>
    <n v="0"/>
    <n v="482"/>
    <n v="405"/>
    <n v="0"/>
    <d v="2024-10-18T00:00:00"/>
    <n v="77"/>
  </r>
  <r>
    <s v="P1044"/>
    <d v="2024-01-21T00:00:00"/>
    <x v="4"/>
    <s v="VIP"/>
    <d v="2024-06-09T00:00:00"/>
    <s v="Blackjack"/>
    <n v="100"/>
    <n v="0"/>
    <n v="718"/>
    <n v="196"/>
    <n v="3"/>
    <d v="2024-07-01T00:00:00"/>
    <n v="522"/>
  </r>
  <r>
    <s v="P1010"/>
    <d v="2024-06-02T00:00:00"/>
    <x v="2"/>
    <s v="Regular"/>
    <d v="2024-10-06T00:00:00"/>
    <s v="Slots"/>
    <n v="20"/>
    <n v="0"/>
    <n v="545"/>
    <n v="232"/>
    <n v="0.6"/>
    <d v="2024-10-07T00:00:00"/>
    <n v="313"/>
  </r>
  <r>
    <s v="P1057"/>
    <d v="2024-02-29T00:00:00"/>
    <x v="2"/>
    <s v="VIP"/>
    <d v="2024-07-15T00:00:00"/>
    <s v="Slots"/>
    <n v="200"/>
    <n v="0"/>
    <n v="999"/>
    <n v="20"/>
    <n v="6"/>
    <d v="2024-07-15T00:00:00"/>
    <n v="979"/>
  </r>
  <r>
    <s v="P1017"/>
    <d v="2024-01-12T00:00:00"/>
    <x v="0"/>
    <s v="Gold"/>
    <d v="2024-02-03T00:00:00"/>
    <s v="Roulette"/>
    <n v="50"/>
    <n v="10"/>
    <n v="101"/>
    <n v="67"/>
    <n v="1.5"/>
    <d v="2024-02-27T00:00:00"/>
    <n v="34"/>
  </r>
  <r>
    <s v="P1082"/>
    <d v="2024-02-07T00:00:00"/>
    <x v="3"/>
    <s v="VIP"/>
    <d v="2024-05-27T00:00:00"/>
    <s v="Live Casino"/>
    <n v="200"/>
    <n v="100"/>
    <n v="836"/>
    <n v="642"/>
    <n v="6"/>
    <d v="2024-06-20T00:00:00"/>
    <n v="194"/>
  </r>
  <r>
    <s v="P1036"/>
    <d v="2024-05-24T00:00:00"/>
    <x v="4"/>
    <s v="Regular"/>
    <d v="2024-09-30T00:00:00"/>
    <s v="Blackjack"/>
    <n v="20"/>
    <n v="4"/>
    <n v="517"/>
    <n v="296"/>
    <n v="0.6"/>
    <d v="2024-10-14T00:00:00"/>
    <n v="221"/>
  </r>
  <r>
    <s v="P1064"/>
    <d v="2024-01-30T00:00:00"/>
    <x v="3"/>
    <s v="Gold"/>
    <d v="2024-02-21T00:00:00"/>
    <s v="Roulette"/>
    <n v="100"/>
    <n v="50"/>
    <n v="361"/>
    <n v="24"/>
    <n v="3"/>
    <d v="2024-03-21T00:00:00"/>
    <n v="337"/>
  </r>
  <r>
    <s v="P1078"/>
    <d v="2024-03-14T00:00:00"/>
    <x v="3"/>
    <s v="Regular"/>
    <d v="2024-06-28T00:00:00"/>
    <s v="Live Casino"/>
    <n v="500"/>
    <n v="0"/>
    <n v="664"/>
    <n v="26"/>
    <n v="15"/>
    <d v="2024-07-09T00:00:00"/>
    <n v="638"/>
  </r>
  <r>
    <s v="P1091"/>
    <d v="2024-03-07T00:00:00"/>
    <x v="1"/>
    <s v="VIP"/>
    <d v="2024-03-08T00:00:00"/>
    <s v="Blackjack"/>
    <n v="500"/>
    <n v="250"/>
    <n v="11"/>
    <n v="3"/>
    <n v="15"/>
    <d v="2024-04-06T00:00:00"/>
    <n v="8"/>
  </r>
  <r>
    <s v="P1024"/>
    <d v="2024-06-03T00:00:00"/>
    <x v="0"/>
    <s v="Regular"/>
    <d v="2024-07-14T00:00:00"/>
    <s v="Blackjack"/>
    <n v="500"/>
    <n v="100"/>
    <n v="11"/>
    <n v="6"/>
    <n v="15"/>
    <d v="2024-07-19T00:00:00"/>
    <n v="5"/>
  </r>
  <r>
    <s v="P1044"/>
    <d v="2024-06-13T00:00:00"/>
    <x v="0"/>
    <s v="Gold"/>
    <d v="2024-09-08T00:00:00"/>
    <s v="Live Casino"/>
    <n v="200"/>
    <n v="100"/>
    <n v="858"/>
    <n v="810"/>
    <n v="6"/>
    <d v="2024-09-23T00:00:00"/>
    <n v="4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d v="2024-03-19T00:00:00"/>
    <x v="0"/>
    <x v="0"/>
    <x v="0"/>
    <x v="0"/>
    <n v="500"/>
    <n v="100"/>
    <n v="969"/>
    <n v="737"/>
    <n v="15"/>
    <d v="2024-08-25T00:00:00"/>
    <n v="232"/>
    <n v="117"/>
  </r>
  <r>
    <x v="1"/>
    <d v="2024-02-21T00:00:00"/>
    <x v="1"/>
    <x v="1"/>
    <x v="1"/>
    <x v="1"/>
    <n v="0"/>
    <n v="0"/>
    <n v="944"/>
    <n v="703"/>
    <n v="0"/>
    <d v="2024-07-27T00:00:00"/>
    <n v="241"/>
    <n v="241"/>
  </r>
  <r>
    <x v="2"/>
    <d v="2024-03-02T00:00:00"/>
    <x v="2"/>
    <x v="0"/>
    <x v="2"/>
    <x v="2"/>
    <n v="200"/>
    <n v="100"/>
    <n v="127"/>
    <n v="72"/>
    <n v="6"/>
    <d v="2024-04-28T00:00:00"/>
    <n v="55"/>
    <n v="-51"/>
  </r>
  <r>
    <x v="3"/>
    <d v="2024-02-04T00:00:00"/>
    <x v="3"/>
    <x v="2"/>
    <x v="3"/>
    <x v="0"/>
    <n v="500"/>
    <n v="250"/>
    <n v="701"/>
    <n v="195"/>
    <n v="15"/>
    <d v="2024-02-12T00:00:00"/>
    <n v="506"/>
    <n v="241"/>
  </r>
  <r>
    <x v="4"/>
    <d v="2024-03-05T00:00:00"/>
    <x v="0"/>
    <x v="2"/>
    <x v="4"/>
    <x v="2"/>
    <n v="0"/>
    <n v="0"/>
    <n v="644"/>
    <n v="545"/>
    <n v="0"/>
    <d v="2024-05-29T00:00:00"/>
    <n v="99"/>
    <n v="99"/>
  </r>
  <r>
    <x v="5"/>
    <d v="2024-03-11T00:00:00"/>
    <x v="1"/>
    <x v="0"/>
    <x v="5"/>
    <x v="2"/>
    <n v="100"/>
    <n v="0"/>
    <n v="648"/>
    <n v="537"/>
    <n v="3"/>
    <d v="2024-05-24T00:00:00"/>
    <n v="111"/>
    <n v="108"/>
  </r>
  <r>
    <x v="6"/>
    <d v="2024-06-16T00:00:00"/>
    <x v="4"/>
    <x v="1"/>
    <x v="6"/>
    <x v="1"/>
    <n v="20"/>
    <n v="4"/>
    <n v="368"/>
    <n v="86"/>
    <n v="0.6"/>
    <d v="2024-09-04T00:00:00"/>
    <n v="282"/>
    <n v="277.39999999999998"/>
  </r>
  <r>
    <x v="7"/>
    <d v="2024-04-26T00:00:00"/>
    <x v="0"/>
    <x v="2"/>
    <x v="7"/>
    <x v="3"/>
    <n v="20"/>
    <n v="10"/>
    <n v="321"/>
    <n v="248"/>
    <n v="0.6"/>
    <d v="2024-06-07T00:00:00"/>
    <n v="73"/>
    <n v="62.4"/>
  </r>
  <r>
    <x v="8"/>
    <d v="2024-03-11T00:00:00"/>
    <x v="1"/>
    <x v="2"/>
    <x v="8"/>
    <x v="1"/>
    <n v="20"/>
    <n v="4"/>
    <n v="892"/>
    <n v="864"/>
    <n v="0.6"/>
    <d v="2024-06-28T00:00:00"/>
    <n v="28"/>
    <n v="23.4"/>
  </r>
  <r>
    <x v="9"/>
    <d v="2024-01-15T00:00:00"/>
    <x v="3"/>
    <x v="2"/>
    <x v="9"/>
    <x v="3"/>
    <n v="0"/>
    <n v="0"/>
    <n v="207"/>
    <n v="151"/>
    <n v="0"/>
    <d v="2024-06-28T00:00:00"/>
    <n v="56"/>
    <n v="56"/>
  </r>
  <r>
    <x v="10"/>
    <d v="2024-02-20T00:00:00"/>
    <x v="0"/>
    <x v="0"/>
    <x v="2"/>
    <x v="2"/>
    <n v="100"/>
    <n v="20"/>
    <n v="786"/>
    <n v="68"/>
    <n v="3"/>
    <d v="2024-04-12T00:00:00"/>
    <n v="718"/>
    <n v="695"/>
  </r>
  <r>
    <x v="11"/>
    <d v="2024-03-01T00:00:00"/>
    <x v="2"/>
    <x v="1"/>
    <x v="10"/>
    <x v="0"/>
    <n v="0"/>
    <n v="0"/>
    <n v="503"/>
    <n v="399"/>
    <n v="0"/>
    <d v="2024-07-29T00:00:00"/>
    <n v="104"/>
    <n v="104"/>
  </r>
  <r>
    <x v="12"/>
    <d v="2024-02-25T00:00:00"/>
    <x v="2"/>
    <x v="1"/>
    <x v="11"/>
    <x v="3"/>
    <n v="200"/>
    <n v="0"/>
    <n v="974"/>
    <n v="541"/>
    <n v="6"/>
    <d v="2024-08-04T00:00:00"/>
    <n v="433"/>
    <n v="427"/>
  </r>
  <r>
    <x v="1"/>
    <d v="2024-06-25T00:00:00"/>
    <x v="2"/>
    <x v="1"/>
    <x v="12"/>
    <x v="0"/>
    <n v="20"/>
    <n v="10"/>
    <n v="495"/>
    <n v="301"/>
    <n v="0.6"/>
    <d v="2024-12-06T00:00:00"/>
    <n v="194"/>
    <n v="183.4"/>
  </r>
  <r>
    <x v="13"/>
    <d v="2024-01-13T00:00:00"/>
    <x v="1"/>
    <x v="0"/>
    <x v="13"/>
    <x v="1"/>
    <n v="20"/>
    <n v="4"/>
    <n v="636"/>
    <n v="211"/>
    <n v="0.6"/>
    <d v="2024-07-10T00:00:00"/>
    <n v="425"/>
    <n v="420.4"/>
  </r>
  <r>
    <x v="14"/>
    <d v="2024-02-25T00:00:00"/>
    <x v="0"/>
    <x v="0"/>
    <x v="14"/>
    <x v="0"/>
    <n v="500"/>
    <n v="0"/>
    <n v="946"/>
    <n v="196"/>
    <n v="15"/>
    <d v="2024-03-25T00:00:00"/>
    <n v="750"/>
    <n v="735"/>
  </r>
  <r>
    <x v="2"/>
    <d v="2024-05-19T00:00:00"/>
    <x v="4"/>
    <x v="0"/>
    <x v="15"/>
    <x v="1"/>
    <n v="500"/>
    <n v="250"/>
    <n v="478"/>
    <n v="350"/>
    <n v="15"/>
    <d v="2024-10-09T00:00:00"/>
    <n v="128"/>
    <n v="-137"/>
  </r>
  <r>
    <x v="15"/>
    <d v="2024-06-27T00:00:00"/>
    <x v="0"/>
    <x v="1"/>
    <x v="16"/>
    <x v="3"/>
    <n v="100"/>
    <n v="20"/>
    <n v="706"/>
    <n v="157"/>
    <n v="3"/>
    <d v="2024-11-10T00:00:00"/>
    <n v="549"/>
    <n v="526"/>
  </r>
  <r>
    <x v="16"/>
    <d v="2024-06-26T00:00:00"/>
    <x v="4"/>
    <x v="2"/>
    <x v="17"/>
    <x v="3"/>
    <n v="20"/>
    <n v="4"/>
    <n v="367"/>
    <n v="223"/>
    <n v="0.6"/>
    <d v="2024-10-01T00:00:00"/>
    <n v="144"/>
    <n v="139.4"/>
  </r>
  <r>
    <x v="2"/>
    <d v="2024-01-20T00:00:00"/>
    <x v="0"/>
    <x v="1"/>
    <x v="18"/>
    <x v="3"/>
    <n v="0"/>
    <n v="0"/>
    <n v="821"/>
    <n v="479"/>
    <n v="0"/>
    <d v="2024-06-14T00:00:00"/>
    <n v="342"/>
    <n v="342"/>
  </r>
  <r>
    <x v="17"/>
    <d v="2024-01-13T00:00:00"/>
    <x v="1"/>
    <x v="2"/>
    <x v="19"/>
    <x v="1"/>
    <n v="200"/>
    <n v="0"/>
    <n v="862"/>
    <n v="648"/>
    <n v="6"/>
    <d v="2024-03-25T00:00:00"/>
    <n v="214"/>
    <n v="208"/>
  </r>
  <r>
    <x v="18"/>
    <d v="2024-06-24T00:00:00"/>
    <x v="3"/>
    <x v="0"/>
    <x v="20"/>
    <x v="2"/>
    <n v="100"/>
    <n v="0"/>
    <n v="184"/>
    <n v="114"/>
    <n v="3"/>
    <d v="2024-09-30T00:00:00"/>
    <n v="70"/>
    <n v="67"/>
  </r>
  <r>
    <x v="13"/>
    <d v="2024-01-29T00:00:00"/>
    <x v="2"/>
    <x v="0"/>
    <x v="21"/>
    <x v="1"/>
    <n v="20"/>
    <n v="0"/>
    <n v="686"/>
    <n v="143"/>
    <n v="0.6"/>
    <d v="2024-06-23T00:00:00"/>
    <n v="543"/>
    <n v="542.4"/>
  </r>
  <r>
    <x v="19"/>
    <d v="2024-03-20T00:00:00"/>
    <x v="1"/>
    <x v="1"/>
    <x v="2"/>
    <x v="0"/>
    <n v="200"/>
    <n v="40"/>
    <n v="965"/>
    <n v="893"/>
    <n v="6"/>
    <d v="2024-04-04T00:00:00"/>
    <n v="72"/>
    <n v="26"/>
  </r>
  <r>
    <x v="20"/>
    <d v="2024-05-19T00:00:00"/>
    <x v="1"/>
    <x v="1"/>
    <x v="22"/>
    <x v="3"/>
    <n v="50"/>
    <n v="0"/>
    <n v="752"/>
    <n v="244"/>
    <n v="1.5"/>
    <d v="2024-09-14T00:00:00"/>
    <n v="508"/>
    <n v="506.5"/>
  </r>
  <r>
    <x v="21"/>
    <d v="2024-01-04T00:00:00"/>
    <x v="0"/>
    <x v="2"/>
    <x v="23"/>
    <x v="2"/>
    <n v="50"/>
    <n v="10"/>
    <n v="748"/>
    <n v="116"/>
    <n v="1.5"/>
    <d v="2024-05-31T00:00:00"/>
    <n v="632"/>
    <n v="620.5"/>
  </r>
  <r>
    <x v="7"/>
    <d v="2024-04-13T00:00:00"/>
    <x v="3"/>
    <x v="2"/>
    <x v="24"/>
    <x v="3"/>
    <n v="200"/>
    <n v="40"/>
    <n v="819"/>
    <n v="502"/>
    <n v="6"/>
    <d v="2024-05-09T00:00:00"/>
    <n v="317"/>
    <n v="271"/>
  </r>
  <r>
    <x v="5"/>
    <d v="2024-03-15T00:00:00"/>
    <x v="1"/>
    <x v="2"/>
    <x v="25"/>
    <x v="3"/>
    <n v="500"/>
    <n v="0"/>
    <n v="892"/>
    <n v="576"/>
    <n v="15"/>
    <d v="2024-05-14T00:00:00"/>
    <n v="316"/>
    <n v="301"/>
  </r>
  <r>
    <x v="16"/>
    <d v="2024-02-24T00:00:00"/>
    <x v="1"/>
    <x v="1"/>
    <x v="26"/>
    <x v="0"/>
    <n v="20"/>
    <n v="10"/>
    <n v="474"/>
    <n v="422"/>
    <n v="0.6"/>
    <d v="2024-06-26T00:00:00"/>
    <n v="52"/>
    <n v="41.4"/>
  </r>
  <r>
    <x v="22"/>
    <d v="2024-05-06T00:00:00"/>
    <x v="4"/>
    <x v="2"/>
    <x v="18"/>
    <x v="2"/>
    <n v="0"/>
    <n v="0"/>
    <n v="197"/>
    <n v="114"/>
    <n v="0"/>
    <d v="2024-05-25T00:00:00"/>
    <n v="83"/>
    <n v="83"/>
  </r>
  <r>
    <x v="23"/>
    <d v="2024-05-26T00:00:00"/>
    <x v="0"/>
    <x v="1"/>
    <x v="27"/>
    <x v="1"/>
    <n v="20"/>
    <n v="10"/>
    <n v="345"/>
    <n v="32"/>
    <n v="0.6"/>
    <d v="2024-10-07T00:00:00"/>
    <n v="313"/>
    <n v="302.39999999999998"/>
  </r>
  <r>
    <x v="24"/>
    <d v="2024-04-30T00:00:00"/>
    <x v="2"/>
    <x v="1"/>
    <x v="27"/>
    <x v="1"/>
    <n v="200"/>
    <n v="0"/>
    <n v="148"/>
    <n v="138"/>
    <n v="6"/>
    <d v="2024-10-07T00:00:00"/>
    <n v="10"/>
    <n v="4"/>
  </r>
  <r>
    <x v="25"/>
    <d v="2024-06-14T00:00:00"/>
    <x v="3"/>
    <x v="2"/>
    <x v="28"/>
    <x v="2"/>
    <n v="200"/>
    <n v="100"/>
    <n v="302"/>
    <n v="18"/>
    <n v="6"/>
    <d v="2024-07-12T00:00:00"/>
    <n v="284"/>
    <n v="178"/>
  </r>
  <r>
    <x v="19"/>
    <d v="2024-01-25T00:00:00"/>
    <x v="2"/>
    <x v="0"/>
    <x v="9"/>
    <x v="0"/>
    <n v="0"/>
    <n v="0"/>
    <n v="624"/>
    <n v="141"/>
    <n v="0"/>
    <d v="2024-06-27T00:00:00"/>
    <n v="483"/>
    <n v="483"/>
  </r>
  <r>
    <x v="26"/>
    <d v="2024-03-09T00:00:00"/>
    <x v="0"/>
    <x v="2"/>
    <x v="4"/>
    <x v="1"/>
    <n v="200"/>
    <n v="100"/>
    <n v="902"/>
    <n v="645"/>
    <n v="6"/>
    <d v="2024-05-14T00:00:00"/>
    <n v="257"/>
    <n v="151"/>
  </r>
  <r>
    <x v="27"/>
    <d v="2024-03-12T00:00:00"/>
    <x v="4"/>
    <x v="1"/>
    <x v="29"/>
    <x v="3"/>
    <n v="100"/>
    <n v="0"/>
    <n v="92"/>
    <n v="58"/>
    <n v="3"/>
    <d v="2024-07-06T00:00:00"/>
    <n v="34"/>
    <n v="31"/>
  </r>
  <r>
    <x v="19"/>
    <d v="2024-03-07T00:00:00"/>
    <x v="2"/>
    <x v="1"/>
    <x v="30"/>
    <x v="2"/>
    <n v="20"/>
    <n v="4"/>
    <n v="73"/>
    <n v="41"/>
    <n v="0.6"/>
    <d v="2024-08-13T00:00:00"/>
    <n v="32"/>
    <n v="27.4"/>
  </r>
  <r>
    <x v="5"/>
    <d v="2024-01-13T00:00:00"/>
    <x v="2"/>
    <x v="2"/>
    <x v="31"/>
    <x v="1"/>
    <n v="0"/>
    <n v="0"/>
    <n v="384"/>
    <n v="227"/>
    <n v="0"/>
    <d v="2024-03-22T00:00:00"/>
    <n v="157"/>
    <n v="157"/>
  </r>
  <r>
    <x v="18"/>
    <d v="2024-01-25T00:00:00"/>
    <x v="3"/>
    <x v="0"/>
    <x v="32"/>
    <x v="1"/>
    <n v="500"/>
    <n v="250"/>
    <n v="157"/>
    <n v="55"/>
    <n v="15"/>
    <d v="2024-07-04T00:00:00"/>
    <n v="102"/>
    <n v="-163"/>
  </r>
  <r>
    <x v="28"/>
    <d v="2024-01-24T00:00:00"/>
    <x v="3"/>
    <x v="1"/>
    <x v="33"/>
    <x v="1"/>
    <n v="200"/>
    <n v="0"/>
    <n v="670"/>
    <n v="527"/>
    <n v="6"/>
    <d v="2024-07-16T00:00:00"/>
    <n v="143"/>
    <n v="137"/>
  </r>
  <r>
    <x v="21"/>
    <d v="2024-02-16T00:00:00"/>
    <x v="2"/>
    <x v="2"/>
    <x v="34"/>
    <x v="1"/>
    <n v="100"/>
    <n v="20"/>
    <n v="787"/>
    <n v="61"/>
    <n v="3"/>
    <d v="2024-04-10T00:00:00"/>
    <n v="726"/>
    <n v="703"/>
  </r>
  <r>
    <x v="29"/>
    <d v="2024-02-26T00:00:00"/>
    <x v="2"/>
    <x v="1"/>
    <x v="28"/>
    <x v="0"/>
    <n v="200"/>
    <n v="100"/>
    <n v="462"/>
    <n v="294"/>
    <n v="6"/>
    <d v="2024-07-30T00:00:00"/>
    <n v="168"/>
    <n v="62"/>
  </r>
  <r>
    <x v="15"/>
    <d v="2024-06-09T00:00:00"/>
    <x v="4"/>
    <x v="1"/>
    <x v="35"/>
    <x v="1"/>
    <n v="100"/>
    <n v="0"/>
    <n v="767"/>
    <n v="58"/>
    <n v="3"/>
    <d v="2024-10-09T00:00:00"/>
    <n v="709"/>
    <n v="706"/>
  </r>
  <r>
    <x v="30"/>
    <d v="2024-04-09T00:00:00"/>
    <x v="0"/>
    <x v="2"/>
    <x v="36"/>
    <x v="2"/>
    <n v="500"/>
    <n v="250"/>
    <n v="424"/>
    <n v="362"/>
    <n v="15"/>
    <d v="2024-05-02T00:00:00"/>
    <n v="62"/>
    <n v="-203"/>
  </r>
  <r>
    <x v="31"/>
    <d v="2024-02-03T00:00:00"/>
    <x v="1"/>
    <x v="2"/>
    <x v="37"/>
    <x v="2"/>
    <n v="500"/>
    <n v="100"/>
    <n v="119"/>
    <n v="69"/>
    <n v="15"/>
    <d v="2024-02-12T00:00:00"/>
    <n v="50"/>
    <n v="-65"/>
  </r>
  <r>
    <x v="5"/>
    <d v="2024-06-06T00:00:00"/>
    <x v="0"/>
    <x v="2"/>
    <x v="38"/>
    <x v="1"/>
    <n v="50"/>
    <n v="0"/>
    <n v="939"/>
    <n v="137"/>
    <n v="1.5"/>
    <d v="2024-12-16T00:00:00"/>
    <n v="802"/>
    <n v="800.5"/>
  </r>
  <r>
    <x v="32"/>
    <d v="2024-01-29T00:00:00"/>
    <x v="0"/>
    <x v="1"/>
    <x v="39"/>
    <x v="3"/>
    <n v="200"/>
    <n v="100"/>
    <n v="534"/>
    <n v="137"/>
    <n v="6"/>
    <d v="2024-04-21T00:00:00"/>
    <n v="397"/>
    <n v="291"/>
  </r>
  <r>
    <x v="33"/>
    <d v="2024-01-19T00:00:00"/>
    <x v="1"/>
    <x v="2"/>
    <x v="40"/>
    <x v="1"/>
    <n v="100"/>
    <n v="0"/>
    <n v="131"/>
    <n v="50"/>
    <n v="3"/>
    <d v="2024-06-22T00:00:00"/>
    <n v="81"/>
    <n v="78"/>
  </r>
  <r>
    <x v="34"/>
    <d v="2024-03-24T00:00:00"/>
    <x v="2"/>
    <x v="2"/>
    <x v="41"/>
    <x v="1"/>
    <n v="50"/>
    <n v="25"/>
    <n v="94"/>
    <n v="76"/>
    <n v="1.5"/>
    <d v="2024-05-02T00:00:00"/>
    <n v="18"/>
    <n v="-8.5"/>
  </r>
  <r>
    <x v="34"/>
    <d v="2024-04-16T00:00:00"/>
    <x v="4"/>
    <x v="2"/>
    <x v="42"/>
    <x v="2"/>
    <n v="20"/>
    <n v="0"/>
    <n v="76"/>
    <n v="55"/>
    <n v="0.6"/>
    <d v="2024-10-04T00:00:00"/>
    <n v="21"/>
    <n v="20.399999999999999"/>
  </r>
  <r>
    <x v="35"/>
    <d v="2024-02-02T00:00:00"/>
    <x v="1"/>
    <x v="1"/>
    <x v="43"/>
    <x v="1"/>
    <n v="50"/>
    <n v="25"/>
    <n v="672"/>
    <n v="637"/>
    <n v="1.5"/>
    <d v="2024-03-09T00:00:00"/>
    <n v="35"/>
    <n v="8.5"/>
  </r>
  <r>
    <x v="36"/>
    <d v="2024-04-13T00:00:00"/>
    <x v="1"/>
    <x v="1"/>
    <x v="44"/>
    <x v="1"/>
    <n v="0"/>
    <n v="0"/>
    <n v="327"/>
    <n v="326"/>
    <n v="0"/>
    <d v="2024-09-24T00:00:00"/>
    <n v="1"/>
    <n v="1"/>
  </r>
  <r>
    <x v="10"/>
    <d v="2024-04-23T00:00:00"/>
    <x v="3"/>
    <x v="1"/>
    <x v="45"/>
    <x v="2"/>
    <n v="50"/>
    <n v="25"/>
    <n v="224"/>
    <n v="61"/>
    <n v="1.5"/>
    <d v="2024-08-06T00:00:00"/>
    <n v="163"/>
    <n v="136.5"/>
  </r>
  <r>
    <x v="37"/>
    <d v="2024-02-11T00:00:00"/>
    <x v="0"/>
    <x v="0"/>
    <x v="46"/>
    <x v="1"/>
    <n v="50"/>
    <n v="25"/>
    <n v="459"/>
    <n v="261"/>
    <n v="1.5"/>
    <d v="2024-07-10T00:00:00"/>
    <n v="198"/>
    <n v="171.5"/>
  </r>
  <r>
    <x v="27"/>
    <d v="2024-04-19T00:00:00"/>
    <x v="2"/>
    <x v="1"/>
    <x v="47"/>
    <x v="2"/>
    <n v="500"/>
    <n v="0"/>
    <n v="805"/>
    <n v="165"/>
    <n v="15"/>
    <d v="2024-06-15T00:00:00"/>
    <n v="640"/>
    <n v="625"/>
  </r>
  <r>
    <x v="28"/>
    <d v="2024-01-11T00:00:00"/>
    <x v="4"/>
    <x v="2"/>
    <x v="48"/>
    <x v="0"/>
    <n v="500"/>
    <n v="100"/>
    <n v="259"/>
    <n v="32"/>
    <n v="15"/>
    <d v="2024-02-26T00:00:00"/>
    <n v="227"/>
    <n v="112"/>
  </r>
  <r>
    <x v="7"/>
    <d v="2024-05-29T00:00:00"/>
    <x v="2"/>
    <x v="2"/>
    <x v="49"/>
    <x v="2"/>
    <n v="0"/>
    <n v="0"/>
    <n v="887"/>
    <n v="784"/>
    <n v="0"/>
    <d v="2024-11-13T00:00:00"/>
    <n v="103"/>
    <n v="103"/>
  </r>
  <r>
    <x v="3"/>
    <d v="2024-05-10T00:00:00"/>
    <x v="3"/>
    <x v="2"/>
    <x v="50"/>
    <x v="3"/>
    <n v="200"/>
    <n v="0"/>
    <n v="934"/>
    <n v="575"/>
    <n v="6"/>
    <d v="2024-10-08T00:00:00"/>
    <n v="359"/>
    <n v="353"/>
  </r>
  <r>
    <x v="30"/>
    <d v="2024-01-25T00:00:00"/>
    <x v="3"/>
    <x v="0"/>
    <x v="26"/>
    <x v="2"/>
    <n v="200"/>
    <n v="0"/>
    <n v="965"/>
    <n v="440"/>
    <n v="6"/>
    <d v="2024-06-04T00:00:00"/>
    <n v="525"/>
    <n v="519"/>
  </r>
  <r>
    <x v="37"/>
    <d v="2024-02-01T00:00:00"/>
    <x v="4"/>
    <x v="2"/>
    <x v="51"/>
    <x v="0"/>
    <n v="50"/>
    <n v="10"/>
    <n v="278"/>
    <n v="110"/>
    <n v="1.5"/>
    <d v="2024-06-21T00:00:00"/>
    <n v="168"/>
    <n v="156.5"/>
  </r>
  <r>
    <x v="38"/>
    <d v="2024-02-13T00:00:00"/>
    <x v="0"/>
    <x v="2"/>
    <x v="30"/>
    <x v="0"/>
    <n v="50"/>
    <n v="25"/>
    <n v="557"/>
    <n v="76"/>
    <n v="1.5"/>
    <d v="2024-08-02T00:00:00"/>
    <n v="481"/>
    <n v="454.5"/>
  </r>
  <r>
    <x v="39"/>
    <d v="2024-04-22T00:00:00"/>
    <x v="1"/>
    <x v="0"/>
    <x v="52"/>
    <x v="0"/>
    <n v="20"/>
    <n v="4"/>
    <n v="954"/>
    <n v="171"/>
    <n v="0.6"/>
    <d v="2024-06-25T00:00:00"/>
    <n v="783"/>
    <n v="778.4"/>
  </r>
  <r>
    <x v="40"/>
    <d v="2024-05-01T00:00:00"/>
    <x v="2"/>
    <x v="0"/>
    <x v="53"/>
    <x v="0"/>
    <n v="100"/>
    <n v="20"/>
    <n v="221"/>
    <n v="115"/>
    <n v="3"/>
    <d v="2024-08-26T00:00:00"/>
    <n v="106"/>
    <n v="83"/>
  </r>
  <r>
    <x v="41"/>
    <d v="2024-02-14T00:00:00"/>
    <x v="1"/>
    <x v="2"/>
    <x v="54"/>
    <x v="3"/>
    <n v="20"/>
    <n v="10"/>
    <n v="634"/>
    <n v="129"/>
    <n v="0.6"/>
    <d v="2024-04-04T00:00:00"/>
    <n v="505"/>
    <n v="494.4"/>
  </r>
  <r>
    <x v="41"/>
    <d v="2024-03-08T00:00:00"/>
    <x v="4"/>
    <x v="0"/>
    <x v="55"/>
    <x v="0"/>
    <n v="200"/>
    <n v="100"/>
    <n v="342"/>
    <n v="285"/>
    <n v="6"/>
    <d v="2024-04-17T00:00:00"/>
    <n v="57"/>
    <n v="-49"/>
  </r>
  <r>
    <x v="42"/>
    <d v="2024-03-16T00:00:00"/>
    <x v="2"/>
    <x v="2"/>
    <x v="56"/>
    <x v="0"/>
    <n v="500"/>
    <n v="250"/>
    <n v="698"/>
    <n v="493"/>
    <n v="15"/>
    <d v="2024-05-29T00:00:00"/>
    <n v="205"/>
    <n v="-60"/>
  </r>
  <r>
    <x v="38"/>
    <d v="2024-01-11T00:00:00"/>
    <x v="2"/>
    <x v="2"/>
    <x v="34"/>
    <x v="1"/>
    <n v="500"/>
    <n v="100"/>
    <n v="290"/>
    <n v="252"/>
    <n v="15"/>
    <d v="2024-04-23T00:00:00"/>
    <n v="38"/>
    <n v="-77"/>
  </r>
  <r>
    <x v="43"/>
    <d v="2024-06-22T00:00:00"/>
    <x v="4"/>
    <x v="0"/>
    <x v="57"/>
    <x v="1"/>
    <n v="50"/>
    <n v="25"/>
    <n v="480"/>
    <n v="211"/>
    <n v="1.5"/>
    <d v="2024-09-06T00:00:00"/>
    <n v="269"/>
    <n v="242.5"/>
  </r>
  <r>
    <x v="43"/>
    <d v="2024-04-26T00:00:00"/>
    <x v="3"/>
    <x v="2"/>
    <x v="58"/>
    <x v="1"/>
    <n v="20"/>
    <n v="0"/>
    <n v="828"/>
    <n v="144"/>
    <n v="0.6"/>
    <d v="2024-09-02T00:00:00"/>
    <n v="684"/>
    <n v="683.4"/>
  </r>
  <r>
    <x v="9"/>
    <d v="2024-04-17T00:00:00"/>
    <x v="3"/>
    <x v="2"/>
    <x v="59"/>
    <x v="2"/>
    <n v="50"/>
    <n v="10"/>
    <n v="654"/>
    <n v="515"/>
    <n v="1.5"/>
    <d v="2024-09-12T00:00:00"/>
    <n v="139"/>
    <n v="127.5"/>
  </r>
  <r>
    <x v="44"/>
    <d v="2024-04-16T00:00:00"/>
    <x v="3"/>
    <x v="1"/>
    <x v="60"/>
    <x v="3"/>
    <n v="100"/>
    <n v="0"/>
    <n v="30"/>
    <n v="26"/>
    <n v="3"/>
    <d v="2024-09-13T00:00:00"/>
    <n v="4"/>
    <n v="1"/>
  </r>
  <r>
    <x v="29"/>
    <d v="2024-04-25T00:00:00"/>
    <x v="1"/>
    <x v="1"/>
    <x v="61"/>
    <x v="2"/>
    <n v="100"/>
    <n v="50"/>
    <n v="604"/>
    <n v="218"/>
    <n v="3"/>
    <d v="2024-10-22T00:00:00"/>
    <n v="386"/>
    <n v="333"/>
  </r>
  <r>
    <x v="45"/>
    <d v="2024-01-12T00:00:00"/>
    <x v="3"/>
    <x v="2"/>
    <x v="62"/>
    <x v="3"/>
    <n v="200"/>
    <n v="0"/>
    <n v="377"/>
    <n v="311"/>
    <n v="6"/>
    <d v="2024-03-20T00:00:00"/>
    <n v="66"/>
    <n v="60"/>
  </r>
  <r>
    <x v="28"/>
    <d v="2024-06-17T00:00:00"/>
    <x v="1"/>
    <x v="1"/>
    <x v="63"/>
    <x v="2"/>
    <n v="100"/>
    <n v="50"/>
    <n v="268"/>
    <n v="44"/>
    <n v="3"/>
    <d v="2024-07-18T00:00:00"/>
    <n v="224"/>
    <n v="171"/>
  </r>
  <r>
    <x v="46"/>
    <d v="2024-05-28T00:00:00"/>
    <x v="0"/>
    <x v="1"/>
    <x v="64"/>
    <x v="0"/>
    <n v="20"/>
    <n v="4"/>
    <n v="996"/>
    <n v="214"/>
    <n v="0.6"/>
    <d v="2024-07-09T00:00:00"/>
    <n v="782"/>
    <n v="777.4"/>
  </r>
  <r>
    <x v="35"/>
    <d v="2024-03-29T00:00:00"/>
    <x v="1"/>
    <x v="2"/>
    <x v="65"/>
    <x v="1"/>
    <n v="100"/>
    <n v="50"/>
    <n v="185"/>
    <n v="5"/>
    <n v="3"/>
    <d v="2024-09-19T00:00:00"/>
    <n v="180"/>
    <n v="127"/>
  </r>
  <r>
    <x v="39"/>
    <d v="2024-02-20T00:00:00"/>
    <x v="1"/>
    <x v="2"/>
    <x v="66"/>
    <x v="3"/>
    <n v="200"/>
    <n v="100"/>
    <n v="147"/>
    <n v="43"/>
    <n v="6"/>
    <d v="2024-05-23T00:00:00"/>
    <n v="104"/>
    <n v="-2"/>
  </r>
  <r>
    <x v="2"/>
    <d v="2024-03-27T00:00:00"/>
    <x v="3"/>
    <x v="0"/>
    <x v="67"/>
    <x v="2"/>
    <n v="20"/>
    <n v="0"/>
    <n v="569"/>
    <n v="264"/>
    <n v="0.6"/>
    <d v="2024-06-13T00:00:00"/>
    <n v="305"/>
    <n v="304.39999999999998"/>
  </r>
  <r>
    <x v="46"/>
    <d v="2024-04-19T00:00:00"/>
    <x v="0"/>
    <x v="2"/>
    <x v="64"/>
    <x v="2"/>
    <n v="20"/>
    <n v="4"/>
    <n v="755"/>
    <n v="73"/>
    <n v="0.6"/>
    <d v="2024-08-07T00:00:00"/>
    <n v="682"/>
    <n v="677.4"/>
  </r>
  <r>
    <x v="47"/>
    <d v="2024-04-07T00:00:00"/>
    <x v="1"/>
    <x v="1"/>
    <x v="68"/>
    <x v="0"/>
    <n v="0"/>
    <n v="0"/>
    <n v="987"/>
    <n v="956"/>
    <n v="0"/>
    <d v="2024-07-10T00:00:00"/>
    <n v="31"/>
    <n v="31"/>
  </r>
  <r>
    <x v="48"/>
    <d v="2024-01-18T00:00:00"/>
    <x v="3"/>
    <x v="2"/>
    <x v="69"/>
    <x v="1"/>
    <n v="500"/>
    <n v="250"/>
    <n v="549"/>
    <n v="447"/>
    <n v="15"/>
    <d v="2024-01-25T00:00:00"/>
    <n v="102"/>
    <n v="-163"/>
  </r>
  <r>
    <x v="49"/>
    <d v="2024-06-10T00:00:00"/>
    <x v="2"/>
    <x v="1"/>
    <x v="70"/>
    <x v="1"/>
    <n v="500"/>
    <n v="100"/>
    <n v="818"/>
    <n v="501"/>
    <n v="15"/>
    <d v="2024-10-11T00:00:00"/>
    <n v="317"/>
    <n v="202"/>
  </r>
  <r>
    <x v="14"/>
    <d v="2024-02-18T00:00:00"/>
    <x v="4"/>
    <x v="1"/>
    <x v="71"/>
    <x v="2"/>
    <n v="20"/>
    <n v="4"/>
    <n v="896"/>
    <n v="778"/>
    <n v="0.6"/>
    <d v="2024-07-22T00:00:00"/>
    <n v="118"/>
    <n v="113.4"/>
  </r>
  <r>
    <x v="44"/>
    <d v="2024-06-07T00:00:00"/>
    <x v="1"/>
    <x v="0"/>
    <x v="72"/>
    <x v="2"/>
    <n v="0"/>
    <n v="0"/>
    <n v="266"/>
    <n v="135"/>
    <n v="0"/>
    <d v="2024-09-18T00:00:00"/>
    <n v="131"/>
    <n v="131"/>
  </r>
  <r>
    <x v="5"/>
    <d v="2024-05-15T00:00:00"/>
    <x v="2"/>
    <x v="2"/>
    <x v="35"/>
    <x v="0"/>
    <n v="0"/>
    <n v="0"/>
    <n v="625"/>
    <n v="535"/>
    <n v="0"/>
    <d v="2024-10-08T00:00:00"/>
    <n v="90"/>
    <n v="90"/>
  </r>
  <r>
    <x v="11"/>
    <d v="2024-02-15T00:00:00"/>
    <x v="2"/>
    <x v="1"/>
    <x v="73"/>
    <x v="1"/>
    <n v="20"/>
    <n v="10"/>
    <n v="623"/>
    <n v="34"/>
    <n v="0.6"/>
    <d v="2024-08-28T00:00:00"/>
    <n v="589"/>
    <n v="578.4"/>
  </r>
  <r>
    <x v="50"/>
    <d v="2024-04-20T00:00:00"/>
    <x v="2"/>
    <x v="2"/>
    <x v="74"/>
    <x v="1"/>
    <n v="200"/>
    <n v="0"/>
    <n v="470"/>
    <n v="241"/>
    <n v="6"/>
    <d v="2024-08-26T00:00:00"/>
    <n v="229"/>
    <n v="223"/>
  </r>
  <r>
    <x v="25"/>
    <d v="2024-04-25T00:00:00"/>
    <x v="0"/>
    <x v="1"/>
    <x v="0"/>
    <x v="2"/>
    <n v="0"/>
    <n v="0"/>
    <n v="608"/>
    <n v="284"/>
    <n v="0"/>
    <d v="2024-08-14T00:00:00"/>
    <n v="324"/>
    <n v="324"/>
  </r>
  <r>
    <x v="51"/>
    <d v="2024-04-03T00:00:00"/>
    <x v="4"/>
    <x v="0"/>
    <x v="75"/>
    <x v="2"/>
    <n v="500"/>
    <n v="250"/>
    <n v="819"/>
    <n v="235"/>
    <n v="15"/>
    <d v="2024-04-18T00:00:00"/>
    <n v="584"/>
    <n v="319"/>
  </r>
  <r>
    <x v="18"/>
    <d v="2024-04-01T00:00:00"/>
    <x v="1"/>
    <x v="2"/>
    <x v="22"/>
    <x v="3"/>
    <n v="0"/>
    <n v="0"/>
    <n v="62"/>
    <n v="4"/>
    <n v="0"/>
    <d v="2024-09-14T00:00:00"/>
    <n v="58"/>
    <n v="58"/>
  </r>
  <r>
    <x v="52"/>
    <d v="2024-03-28T00:00:00"/>
    <x v="2"/>
    <x v="1"/>
    <x v="76"/>
    <x v="1"/>
    <n v="200"/>
    <n v="40"/>
    <n v="967"/>
    <n v="228"/>
    <n v="6"/>
    <d v="2024-09-21T00:00:00"/>
    <n v="739"/>
    <n v="693"/>
  </r>
  <r>
    <x v="46"/>
    <d v="2024-04-02T00:00:00"/>
    <x v="2"/>
    <x v="2"/>
    <x v="17"/>
    <x v="3"/>
    <n v="100"/>
    <n v="0"/>
    <n v="148"/>
    <n v="110"/>
    <n v="3"/>
    <d v="2024-10-04T00:00:00"/>
    <n v="38"/>
    <n v="35"/>
  </r>
  <r>
    <x v="53"/>
    <d v="2024-04-28T00:00:00"/>
    <x v="3"/>
    <x v="2"/>
    <x v="77"/>
    <x v="2"/>
    <n v="200"/>
    <n v="40"/>
    <n v="146"/>
    <n v="55"/>
    <n v="6"/>
    <d v="2024-10-07T00:00:00"/>
    <n v="91"/>
    <n v="45"/>
  </r>
  <r>
    <x v="52"/>
    <d v="2024-02-15T00:00:00"/>
    <x v="2"/>
    <x v="0"/>
    <x v="78"/>
    <x v="2"/>
    <n v="0"/>
    <n v="0"/>
    <n v="286"/>
    <n v="8"/>
    <n v="0"/>
    <d v="2024-05-17T00:00:00"/>
    <n v="278"/>
    <n v="278"/>
  </r>
  <r>
    <x v="54"/>
    <d v="2024-06-29T00:00:00"/>
    <x v="0"/>
    <x v="2"/>
    <x v="79"/>
    <x v="1"/>
    <n v="50"/>
    <n v="10"/>
    <n v="843"/>
    <n v="653"/>
    <n v="1.5"/>
    <d v="2024-08-05T00:00:00"/>
    <n v="190"/>
    <n v="178.5"/>
  </r>
  <r>
    <x v="55"/>
    <d v="2024-04-27T00:00:00"/>
    <x v="4"/>
    <x v="1"/>
    <x v="29"/>
    <x v="1"/>
    <n v="0"/>
    <n v="0"/>
    <n v="497"/>
    <n v="425"/>
    <n v="0"/>
    <d v="2024-07-21T00:00:00"/>
    <n v="72"/>
    <n v="72"/>
  </r>
  <r>
    <x v="56"/>
    <d v="2024-02-29T00:00:00"/>
    <x v="0"/>
    <x v="1"/>
    <x v="80"/>
    <x v="1"/>
    <n v="20"/>
    <n v="4"/>
    <n v="247"/>
    <n v="142"/>
    <n v="0.6"/>
    <d v="2024-08-10T00:00:00"/>
    <n v="105"/>
    <n v="100.4"/>
  </r>
  <r>
    <x v="31"/>
    <d v="2024-05-29T00:00:00"/>
    <x v="3"/>
    <x v="0"/>
    <x v="81"/>
    <x v="0"/>
    <n v="200"/>
    <n v="40"/>
    <n v="134"/>
    <n v="18"/>
    <n v="6"/>
    <d v="2024-08-01T00:00:00"/>
    <n v="116"/>
    <n v="70"/>
  </r>
  <r>
    <x v="2"/>
    <d v="2024-01-03T00:00:00"/>
    <x v="4"/>
    <x v="0"/>
    <x v="82"/>
    <x v="3"/>
    <n v="500"/>
    <n v="250"/>
    <n v="477"/>
    <n v="65"/>
    <n v="15"/>
    <d v="2024-03-29T00:00:00"/>
    <n v="412"/>
    <n v="147"/>
  </r>
  <r>
    <x v="42"/>
    <d v="2024-01-18T00:00:00"/>
    <x v="4"/>
    <x v="0"/>
    <x v="83"/>
    <x v="3"/>
    <n v="500"/>
    <n v="250"/>
    <n v="713"/>
    <n v="117"/>
    <n v="15"/>
    <d v="2024-03-24T00:00:00"/>
    <n v="596"/>
    <n v="331"/>
  </r>
  <r>
    <x v="57"/>
    <d v="2024-03-17T00:00:00"/>
    <x v="3"/>
    <x v="1"/>
    <x v="32"/>
    <x v="3"/>
    <n v="0"/>
    <n v="0"/>
    <n v="281"/>
    <n v="45"/>
    <n v="0"/>
    <d v="2024-07-29T00:00:00"/>
    <n v="236"/>
    <n v="236"/>
  </r>
  <r>
    <x v="58"/>
    <d v="2024-03-28T00:00:00"/>
    <x v="4"/>
    <x v="2"/>
    <x v="84"/>
    <x v="3"/>
    <n v="50"/>
    <n v="25"/>
    <n v="630"/>
    <n v="370"/>
    <n v="1.5"/>
    <d v="2024-04-20T00:00:00"/>
    <n v="260"/>
    <n v="233.5"/>
  </r>
  <r>
    <x v="27"/>
    <d v="2024-06-05T00:00:00"/>
    <x v="4"/>
    <x v="0"/>
    <x v="85"/>
    <x v="0"/>
    <n v="100"/>
    <n v="50"/>
    <n v="701"/>
    <n v="44"/>
    <n v="3"/>
    <d v="2024-08-11T00:00:00"/>
    <n v="657"/>
    <n v="604"/>
  </r>
  <r>
    <x v="49"/>
    <d v="2024-06-23T00:00:00"/>
    <x v="4"/>
    <x v="1"/>
    <x v="70"/>
    <x v="3"/>
    <n v="0"/>
    <n v="0"/>
    <n v="794"/>
    <n v="25"/>
    <n v="0"/>
    <d v="2024-10-17T00:00:00"/>
    <n v="769"/>
    <n v="769"/>
  </r>
  <r>
    <x v="34"/>
    <d v="2024-05-09T00:00:00"/>
    <x v="1"/>
    <x v="2"/>
    <x v="86"/>
    <x v="3"/>
    <n v="20"/>
    <n v="4"/>
    <n v="773"/>
    <n v="80"/>
    <n v="0.6"/>
    <d v="2024-05-30T00:00:00"/>
    <n v="693"/>
    <n v="688.4"/>
  </r>
  <r>
    <x v="46"/>
    <d v="2024-04-10T00:00:00"/>
    <x v="0"/>
    <x v="2"/>
    <x v="87"/>
    <x v="0"/>
    <n v="0"/>
    <n v="0"/>
    <n v="331"/>
    <n v="61"/>
    <n v="0"/>
    <d v="2024-09-14T00:00:00"/>
    <n v="270"/>
    <n v="270"/>
  </r>
  <r>
    <x v="59"/>
    <d v="2024-06-17T00:00:00"/>
    <x v="2"/>
    <x v="0"/>
    <x v="88"/>
    <x v="2"/>
    <n v="100"/>
    <n v="50"/>
    <n v="716"/>
    <n v="611"/>
    <n v="3"/>
    <d v="2024-07-11T00:00:00"/>
    <n v="105"/>
    <n v="52"/>
  </r>
  <r>
    <x v="18"/>
    <d v="2024-05-05T00:00:00"/>
    <x v="0"/>
    <x v="2"/>
    <x v="89"/>
    <x v="0"/>
    <n v="20"/>
    <n v="4"/>
    <n v="488"/>
    <n v="389"/>
    <n v="0.6"/>
    <d v="2024-05-16T00:00:00"/>
    <n v="99"/>
    <n v="94.4"/>
  </r>
  <r>
    <x v="60"/>
    <d v="2024-01-12T00:00:00"/>
    <x v="3"/>
    <x v="0"/>
    <x v="37"/>
    <x v="2"/>
    <n v="500"/>
    <n v="0"/>
    <n v="519"/>
    <n v="0"/>
    <n v="15"/>
    <d v="2024-02-08T00:00:00"/>
    <n v="519"/>
    <n v="504"/>
  </r>
  <r>
    <x v="61"/>
    <d v="2024-02-07T00:00:00"/>
    <x v="3"/>
    <x v="0"/>
    <x v="79"/>
    <x v="2"/>
    <n v="50"/>
    <n v="25"/>
    <n v="614"/>
    <n v="276"/>
    <n v="1.5"/>
    <d v="2024-07-12T00:00:00"/>
    <n v="338"/>
    <n v="311.5"/>
  </r>
  <r>
    <x v="44"/>
    <d v="2024-06-15T00:00:00"/>
    <x v="1"/>
    <x v="2"/>
    <x v="90"/>
    <x v="0"/>
    <n v="0"/>
    <n v="0"/>
    <n v="866"/>
    <n v="5"/>
    <n v="0"/>
    <d v="2024-12-20T00:00:00"/>
    <n v="861"/>
    <n v="861"/>
  </r>
  <r>
    <x v="26"/>
    <d v="2024-02-09T00:00:00"/>
    <x v="1"/>
    <x v="1"/>
    <x v="7"/>
    <x v="3"/>
    <n v="100"/>
    <n v="20"/>
    <n v="470"/>
    <n v="124"/>
    <n v="3"/>
    <d v="2024-06-01T00:00:00"/>
    <n v="346"/>
    <n v="323"/>
  </r>
  <r>
    <x v="41"/>
    <d v="2024-02-10T00:00:00"/>
    <x v="4"/>
    <x v="1"/>
    <x v="86"/>
    <x v="0"/>
    <n v="200"/>
    <n v="100"/>
    <n v="234"/>
    <n v="0"/>
    <n v="6"/>
    <d v="2024-06-03T00:00:00"/>
    <n v="234"/>
    <n v="128"/>
  </r>
  <r>
    <x v="62"/>
    <d v="2024-04-28T00:00:00"/>
    <x v="4"/>
    <x v="2"/>
    <x v="6"/>
    <x v="3"/>
    <n v="500"/>
    <n v="100"/>
    <n v="406"/>
    <n v="120"/>
    <n v="15"/>
    <d v="2024-08-24T00:00:00"/>
    <n v="286"/>
    <n v="171"/>
  </r>
  <r>
    <x v="42"/>
    <d v="2024-05-18T00:00:00"/>
    <x v="4"/>
    <x v="2"/>
    <x v="91"/>
    <x v="1"/>
    <n v="0"/>
    <n v="0"/>
    <n v="657"/>
    <n v="23"/>
    <n v="0"/>
    <d v="2024-07-12T00:00:00"/>
    <n v="634"/>
    <n v="634"/>
  </r>
  <r>
    <x v="63"/>
    <d v="2024-06-29T00:00:00"/>
    <x v="0"/>
    <x v="1"/>
    <x v="92"/>
    <x v="3"/>
    <n v="500"/>
    <n v="0"/>
    <n v="771"/>
    <n v="196"/>
    <n v="15"/>
    <d v="2024-08-20T00:00:00"/>
    <n v="575"/>
    <n v="560"/>
  </r>
  <r>
    <x v="9"/>
    <d v="2024-04-06T00:00:00"/>
    <x v="2"/>
    <x v="0"/>
    <x v="93"/>
    <x v="3"/>
    <n v="200"/>
    <n v="40"/>
    <n v="659"/>
    <n v="601"/>
    <n v="6"/>
    <d v="2024-06-15T00:00:00"/>
    <n v="58"/>
    <n v="12"/>
  </r>
  <r>
    <x v="64"/>
    <d v="2024-01-30T00:00:00"/>
    <x v="1"/>
    <x v="2"/>
    <x v="40"/>
    <x v="0"/>
    <n v="50"/>
    <n v="0"/>
    <n v="879"/>
    <n v="468"/>
    <n v="1.5"/>
    <d v="2024-06-12T00:00:00"/>
    <n v="411"/>
    <n v="409.5"/>
  </r>
  <r>
    <x v="4"/>
    <d v="2024-03-04T00:00:00"/>
    <x v="4"/>
    <x v="2"/>
    <x v="93"/>
    <x v="3"/>
    <n v="500"/>
    <n v="0"/>
    <n v="40"/>
    <n v="11"/>
    <n v="15"/>
    <d v="2024-06-24T00:00:00"/>
    <n v="29"/>
    <n v="14"/>
  </r>
  <r>
    <x v="18"/>
    <d v="2024-02-14T00:00:00"/>
    <x v="4"/>
    <x v="1"/>
    <x v="94"/>
    <x v="0"/>
    <n v="50"/>
    <n v="0"/>
    <n v="698"/>
    <n v="44"/>
    <n v="1.5"/>
    <d v="2024-09-09T00:00:00"/>
    <n v="654"/>
    <n v="652.5"/>
  </r>
  <r>
    <x v="35"/>
    <d v="2024-05-10T00:00:00"/>
    <x v="1"/>
    <x v="0"/>
    <x v="95"/>
    <x v="2"/>
    <n v="50"/>
    <n v="0"/>
    <n v="166"/>
    <n v="156"/>
    <n v="1.5"/>
    <d v="2024-08-10T00:00:00"/>
    <n v="10"/>
    <n v="8.5"/>
  </r>
  <r>
    <x v="62"/>
    <d v="2024-02-28T00:00:00"/>
    <x v="3"/>
    <x v="2"/>
    <x v="96"/>
    <x v="2"/>
    <n v="500"/>
    <n v="250"/>
    <n v="287"/>
    <n v="204"/>
    <n v="15"/>
    <d v="2024-04-03T00:00:00"/>
    <n v="83"/>
    <n v="-182"/>
  </r>
  <r>
    <x v="65"/>
    <d v="2024-04-05T00:00:00"/>
    <x v="3"/>
    <x v="2"/>
    <x v="97"/>
    <x v="2"/>
    <n v="50"/>
    <n v="10"/>
    <n v="416"/>
    <n v="165"/>
    <n v="1.5"/>
    <d v="2024-04-20T00:00:00"/>
    <n v="251"/>
    <n v="239.5"/>
  </r>
  <r>
    <x v="66"/>
    <d v="2024-01-14T00:00:00"/>
    <x v="1"/>
    <x v="0"/>
    <x v="98"/>
    <x v="1"/>
    <n v="500"/>
    <n v="0"/>
    <n v="458"/>
    <n v="112"/>
    <n v="15"/>
    <d v="2024-02-05T00:00:00"/>
    <n v="346"/>
    <n v="331"/>
  </r>
  <r>
    <x v="52"/>
    <d v="2024-03-23T00:00:00"/>
    <x v="2"/>
    <x v="2"/>
    <x v="11"/>
    <x v="1"/>
    <n v="100"/>
    <n v="20"/>
    <n v="209"/>
    <n v="50"/>
    <n v="3"/>
    <d v="2024-07-17T00:00:00"/>
    <n v="159"/>
    <n v="136"/>
  </r>
  <r>
    <x v="39"/>
    <d v="2024-04-18T00:00:00"/>
    <x v="3"/>
    <x v="2"/>
    <x v="99"/>
    <x v="2"/>
    <n v="0"/>
    <n v="0"/>
    <n v="614"/>
    <n v="155"/>
    <n v="0"/>
    <d v="2024-10-16T00:00:00"/>
    <n v="459"/>
    <n v="459"/>
  </r>
  <r>
    <x v="67"/>
    <d v="2024-03-09T00:00:00"/>
    <x v="0"/>
    <x v="1"/>
    <x v="100"/>
    <x v="1"/>
    <n v="200"/>
    <n v="0"/>
    <n v="230"/>
    <n v="135"/>
    <n v="6"/>
    <d v="2024-09-04T00:00:00"/>
    <n v="95"/>
    <n v="89"/>
  </r>
  <r>
    <x v="68"/>
    <d v="2024-05-23T00:00:00"/>
    <x v="4"/>
    <x v="1"/>
    <x v="101"/>
    <x v="3"/>
    <n v="50"/>
    <n v="10"/>
    <n v="857"/>
    <n v="139"/>
    <n v="1.5"/>
    <d v="2024-10-12T00:00:00"/>
    <n v="718"/>
    <n v="706.5"/>
  </r>
  <r>
    <x v="8"/>
    <d v="2024-04-25T00:00:00"/>
    <x v="0"/>
    <x v="0"/>
    <x v="5"/>
    <x v="2"/>
    <n v="200"/>
    <n v="40"/>
    <n v="631"/>
    <n v="261"/>
    <n v="6"/>
    <d v="2024-05-19T00:00:00"/>
    <n v="370"/>
    <n v="324"/>
  </r>
  <r>
    <x v="42"/>
    <d v="2024-02-15T00:00:00"/>
    <x v="0"/>
    <x v="1"/>
    <x v="102"/>
    <x v="2"/>
    <n v="50"/>
    <n v="10"/>
    <n v="874"/>
    <n v="749"/>
    <n v="1.5"/>
    <d v="2024-06-24T00:00:00"/>
    <n v="125"/>
    <n v="113.5"/>
  </r>
  <r>
    <x v="69"/>
    <d v="2024-06-14T00:00:00"/>
    <x v="4"/>
    <x v="2"/>
    <x v="103"/>
    <x v="3"/>
    <n v="200"/>
    <n v="100"/>
    <n v="70"/>
    <n v="47"/>
    <n v="6"/>
    <d v="2024-12-23T00:00:00"/>
    <n v="23"/>
    <n v="-83"/>
  </r>
  <r>
    <x v="70"/>
    <d v="2024-02-05T00:00:00"/>
    <x v="4"/>
    <x v="0"/>
    <x v="2"/>
    <x v="2"/>
    <n v="50"/>
    <n v="25"/>
    <n v="834"/>
    <n v="495"/>
    <n v="1.5"/>
    <d v="2024-04-20T00:00:00"/>
    <n v="339"/>
    <n v="312.5"/>
  </r>
  <r>
    <x v="57"/>
    <d v="2024-05-04T00:00:00"/>
    <x v="2"/>
    <x v="2"/>
    <x v="104"/>
    <x v="2"/>
    <n v="200"/>
    <n v="100"/>
    <n v="91"/>
    <n v="22"/>
    <n v="6"/>
    <d v="2024-05-25T00:00:00"/>
    <n v="69"/>
    <n v="-37"/>
  </r>
  <r>
    <x v="20"/>
    <d v="2024-04-22T00:00:00"/>
    <x v="2"/>
    <x v="0"/>
    <x v="80"/>
    <x v="3"/>
    <n v="20"/>
    <n v="0"/>
    <n v="523"/>
    <n v="119"/>
    <n v="0.6"/>
    <d v="2024-08-06T00:00:00"/>
    <n v="404"/>
    <n v="403.4"/>
  </r>
  <r>
    <x v="71"/>
    <d v="2024-03-18T00:00:00"/>
    <x v="4"/>
    <x v="2"/>
    <x v="7"/>
    <x v="0"/>
    <n v="100"/>
    <n v="0"/>
    <n v="394"/>
    <n v="268"/>
    <n v="3"/>
    <d v="2024-06-01T00:00:00"/>
    <n v="126"/>
    <n v="123"/>
  </r>
  <r>
    <x v="72"/>
    <d v="2024-05-06T00:00:00"/>
    <x v="0"/>
    <x v="2"/>
    <x v="30"/>
    <x v="1"/>
    <n v="0"/>
    <n v="0"/>
    <n v="315"/>
    <n v="94"/>
    <n v="0"/>
    <d v="2024-07-19T00:00:00"/>
    <n v="221"/>
    <n v="221"/>
  </r>
  <r>
    <x v="28"/>
    <d v="2024-05-23T00:00:00"/>
    <x v="0"/>
    <x v="1"/>
    <x v="105"/>
    <x v="1"/>
    <n v="500"/>
    <n v="0"/>
    <n v="454"/>
    <n v="91"/>
    <n v="15"/>
    <d v="2024-08-18T00:00:00"/>
    <n v="363"/>
    <n v="348"/>
  </r>
  <r>
    <x v="60"/>
    <d v="2024-05-07T00:00:00"/>
    <x v="1"/>
    <x v="0"/>
    <x v="106"/>
    <x v="2"/>
    <n v="20"/>
    <n v="0"/>
    <n v="740"/>
    <n v="330"/>
    <n v="0.6"/>
    <d v="2024-11-01T00:00:00"/>
    <n v="410"/>
    <n v="409.4"/>
  </r>
  <r>
    <x v="73"/>
    <d v="2024-04-15T00:00:00"/>
    <x v="0"/>
    <x v="0"/>
    <x v="107"/>
    <x v="2"/>
    <n v="500"/>
    <n v="100"/>
    <n v="380"/>
    <n v="147"/>
    <n v="15"/>
    <d v="2024-05-05T00:00:00"/>
    <n v="233"/>
    <n v="118"/>
  </r>
  <r>
    <x v="74"/>
    <d v="2024-04-26T00:00:00"/>
    <x v="3"/>
    <x v="2"/>
    <x v="108"/>
    <x v="0"/>
    <n v="200"/>
    <n v="0"/>
    <n v="533"/>
    <n v="469"/>
    <n v="6"/>
    <d v="2024-06-25T00:00:00"/>
    <n v="64"/>
    <n v="58"/>
  </r>
  <r>
    <x v="8"/>
    <d v="2024-05-30T00:00:00"/>
    <x v="3"/>
    <x v="0"/>
    <x v="109"/>
    <x v="3"/>
    <n v="500"/>
    <n v="100"/>
    <n v="584"/>
    <n v="0"/>
    <n v="15"/>
    <d v="2024-08-16T00:00:00"/>
    <n v="584"/>
    <n v="469"/>
  </r>
  <r>
    <x v="6"/>
    <d v="2024-03-22T00:00:00"/>
    <x v="0"/>
    <x v="2"/>
    <x v="46"/>
    <x v="0"/>
    <n v="50"/>
    <n v="0"/>
    <n v="157"/>
    <n v="1"/>
    <n v="1.5"/>
    <d v="2024-07-31T00:00:00"/>
    <n v="156"/>
    <n v="154.5"/>
  </r>
  <r>
    <x v="56"/>
    <d v="2024-02-04T00:00:00"/>
    <x v="2"/>
    <x v="2"/>
    <x v="110"/>
    <x v="3"/>
    <n v="20"/>
    <n v="10"/>
    <n v="628"/>
    <n v="250"/>
    <n v="0.6"/>
    <d v="2024-03-25T00:00:00"/>
    <n v="378"/>
    <n v="367.4"/>
  </r>
  <r>
    <x v="75"/>
    <d v="2024-02-01T00:00:00"/>
    <x v="3"/>
    <x v="2"/>
    <x v="111"/>
    <x v="1"/>
    <n v="0"/>
    <n v="0"/>
    <n v="188"/>
    <n v="26"/>
    <n v="0"/>
    <d v="2024-07-21T00:00:00"/>
    <n v="162"/>
    <n v="162"/>
  </r>
  <r>
    <x v="76"/>
    <d v="2024-06-17T00:00:00"/>
    <x v="3"/>
    <x v="1"/>
    <x v="112"/>
    <x v="3"/>
    <n v="500"/>
    <n v="100"/>
    <n v="769"/>
    <n v="467"/>
    <n v="15"/>
    <d v="2024-06-24T00:00:00"/>
    <n v="302"/>
    <n v="187"/>
  </r>
  <r>
    <x v="77"/>
    <d v="2024-02-17T00:00:00"/>
    <x v="0"/>
    <x v="0"/>
    <x v="113"/>
    <x v="1"/>
    <n v="0"/>
    <n v="0"/>
    <n v="786"/>
    <n v="310"/>
    <n v="0"/>
    <d v="2024-03-16T00:00:00"/>
    <n v="476"/>
    <n v="476"/>
  </r>
  <r>
    <x v="50"/>
    <d v="2024-03-31T00:00:00"/>
    <x v="3"/>
    <x v="1"/>
    <x v="114"/>
    <x v="2"/>
    <n v="500"/>
    <n v="0"/>
    <n v="489"/>
    <n v="313"/>
    <n v="15"/>
    <d v="2024-05-01T00:00:00"/>
    <n v="176"/>
    <n v="161"/>
  </r>
  <r>
    <x v="49"/>
    <d v="2024-01-03T00:00:00"/>
    <x v="4"/>
    <x v="1"/>
    <x v="115"/>
    <x v="3"/>
    <n v="500"/>
    <n v="0"/>
    <n v="791"/>
    <n v="526"/>
    <n v="15"/>
    <d v="2024-02-13T00:00:00"/>
    <n v="265"/>
    <n v="250"/>
  </r>
  <r>
    <x v="9"/>
    <d v="2024-06-01T00:00:00"/>
    <x v="4"/>
    <x v="2"/>
    <x v="116"/>
    <x v="3"/>
    <n v="0"/>
    <n v="0"/>
    <n v="516"/>
    <n v="200"/>
    <n v="0"/>
    <d v="2024-10-13T00:00:00"/>
    <n v="316"/>
    <n v="316"/>
  </r>
  <r>
    <x v="78"/>
    <d v="2024-05-28T00:00:00"/>
    <x v="0"/>
    <x v="0"/>
    <x v="46"/>
    <x v="3"/>
    <n v="0"/>
    <n v="0"/>
    <n v="673"/>
    <n v="177"/>
    <n v="0"/>
    <d v="2024-08-05T00:00:00"/>
    <n v="496"/>
    <n v="496"/>
  </r>
  <r>
    <x v="10"/>
    <d v="2024-04-08T00:00:00"/>
    <x v="3"/>
    <x v="2"/>
    <x v="117"/>
    <x v="0"/>
    <n v="100"/>
    <n v="20"/>
    <n v="336"/>
    <n v="129"/>
    <n v="3"/>
    <d v="2024-04-30T00:00:00"/>
    <n v="207"/>
    <n v="184"/>
  </r>
  <r>
    <x v="72"/>
    <d v="2024-01-05T00:00:00"/>
    <x v="0"/>
    <x v="2"/>
    <x v="118"/>
    <x v="2"/>
    <n v="100"/>
    <n v="20"/>
    <n v="83"/>
    <n v="7"/>
    <n v="3"/>
    <d v="2024-03-12T00:00:00"/>
    <n v="76"/>
    <n v="53"/>
  </r>
  <r>
    <x v="62"/>
    <d v="2024-02-19T00:00:00"/>
    <x v="2"/>
    <x v="0"/>
    <x v="119"/>
    <x v="0"/>
    <n v="500"/>
    <n v="100"/>
    <n v="962"/>
    <n v="89"/>
    <n v="15"/>
    <d v="2024-07-17T00:00:00"/>
    <n v="873"/>
    <n v="758"/>
  </r>
  <r>
    <x v="55"/>
    <d v="2024-03-12T00:00:00"/>
    <x v="0"/>
    <x v="1"/>
    <x v="117"/>
    <x v="3"/>
    <n v="200"/>
    <n v="0"/>
    <n v="228"/>
    <n v="38"/>
    <n v="6"/>
    <d v="2024-05-13T00:00:00"/>
    <n v="190"/>
    <n v="184"/>
  </r>
  <r>
    <x v="79"/>
    <d v="2024-05-03T00:00:00"/>
    <x v="4"/>
    <x v="0"/>
    <x v="1"/>
    <x v="0"/>
    <n v="50"/>
    <n v="0"/>
    <n v="764"/>
    <n v="250"/>
    <n v="1.5"/>
    <d v="2024-08-03T00:00:00"/>
    <n v="514"/>
    <n v="512.5"/>
  </r>
  <r>
    <x v="80"/>
    <d v="2024-03-11T00:00:00"/>
    <x v="0"/>
    <x v="1"/>
    <x v="120"/>
    <x v="2"/>
    <n v="0"/>
    <n v="0"/>
    <n v="334"/>
    <n v="316"/>
    <n v="0"/>
    <d v="2024-05-22T00:00:00"/>
    <n v="18"/>
    <n v="18"/>
  </r>
  <r>
    <x v="45"/>
    <d v="2024-05-03T00:00:00"/>
    <x v="4"/>
    <x v="2"/>
    <x v="121"/>
    <x v="0"/>
    <n v="50"/>
    <n v="0"/>
    <n v="590"/>
    <n v="11"/>
    <n v="1.5"/>
    <d v="2024-09-04T00:00:00"/>
    <n v="579"/>
    <n v="577.5"/>
  </r>
  <r>
    <x v="59"/>
    <d v="2024-06-15T00:00:00"/>
    <x v="4"/>
    <x v="0"/>
    <x v="73"/>
    <x v="2"/>
    <n v="500"/>
    <n v="100"/>
    <n v="347"/>
    <n v="40"/>
    <n v="15"/>
    <d v="2024-08-11T00:00:00"/>
    <n v="307"/>
    <n v="192"/>
  </r>
  <r>
    <x v="49"/>
    <d v="2024-06-10T00:00:00"/>
    <x v="3"/>
    <x v="2"/>
    <x v="122"/>
    <x v="1"/>
    <n v="20"/>
    <n v="4"/>
    <n v="799"/>
    <n v="611"/>
    <n v="0.6"/>
    <d v="2024-09-23T00:00:00"/>
    <n v="188"/>
    <n v="183.4"/>
  </r>
  <r>
    <x v="81"/>
    <d v="2024-01-11T00:00:00"/>
    <x v="3"/>
    <x v="2"/>
    <x v="71"/>
    <x v="3"/>
    <n v="0"/>
    <n v="0"/>
    <n v="499"/>
    <n v="444"/>
    <n v="0"/>
    <d v="2024-07-21T00:00:00"/>
    <n v="55"/>
    <n v="55"/>
  </r>
  <r>
    <x v="31"/>
    <d v="2024-04-03T00:00:00"/>
    <x v="2"/>
    <x v="1"/>
    <x v="105"/>
    <x v="3"/>
    <n v="500"/>
    <n v="100"/>
    <n v="961"/>
    <n v="438"/>
    <n v="15"/>
    <d v="2024-08-27T00:00:00"/>
    <n v="523"/>
    <n v="408"/>
  </r>
  <r>
    <x v="82"/>
    <d v="2024-01-01T00:00:00"/>
    <x v="4"/>
    <x v="2"/>
    <x v="123"/>
    <x v="2"/>
    <n v="200"/>
    <n v="100"/>
    <n v="135"/>
    <n v="95"/>
    <n v="6"/>
    <d v="2024-07-04T00:00:00"/>
    <n v="40"/>
    <n v="-66"/>
  </r>
  <r>
    <x v="34"/>
    <d v="2024-01-24T00:00:00"/>
    <x v="2"/>
    <x v="2"/>
    <x v="88"/>
    <x v="2"/>
    <n v="0"/>
    <n v="0"/>
    <n v="300"/>
    <n v="75"/>
    <n v="0"/>
    <d v="2024-07-03T00:00:00"/>
    <n v="225"/>
    <n v="225"/>
  </r>
  <r>
    <x v="27"/>
    <d v="2024-04-25T00:00:00"/>
    <x v="2"/>
    <x v="1"/>
    <x v="64"/>
    <x v="0"/>
    <n v="200"/>
    <n v="0"/>
    <n v="569"/>
    <n v="182"/>
    <n v="6"/>
    <d v="2024-07-10T00:00:00"/>
    <n v="387"/>
    <n v="381"/>
  </r>
  <r>
    <x v="83"/>
    <d v="2024-02-21T00:00:00"/>
    <x v="1"/>
    <x v="1"/>
    <x v="124"/>
    <x v="1"/>
    <n v="500"/>
    <n v="250"/>
    <n v="60"/>
    <n v="31"/>
    <n v="15"/>
    <d v="2024-07-05T00:00:00"/>
    <n v="29"/>
    <n v="-236"/>
  </r>
  <r>
    <x v="14"/>
    <d v="2024-04-24T00:00:00"/>
    <x v="4"/>
    <x v="0"/>
    <x v="125"/>
    <x v="2"/>
    <n v="0"/>
    <n v="0"/>
    <n v="731"/>
    <n v="146"/>
    <n v="0"/>
    <d v="2024-06-09T00:00:00"/>
    <n v="585"/>
    <n v="585"/>
  </r>
  <r>
    <x v="71"/>
    <d v="2024-04-29T00:00:00"/>
    <x v="0"/>
    <x v="0"/>
    <x v="89"/>
    <x v="1"/>
    <n v="100"/>
    <n v="0"/>
    <n v="584"/>
    <n v="257"/>
    <n v="3"/>
    <d v="2024-05-19T00:00:00"/>
    <n v="327"/>
    <n v="324"/>
  </r>
  <r>
    <x v="43"/>
    <d v="2024-04-03T00:00:00"/>
    <x v="4"/>
    <x v="1"/>
    <x v="126"/>
    <x v="1"/>
    <n v="50"/>
    <n v="0"/>
    <n v="646"/>
    <n v="158"/>
    <n v="1.5"/>
    <d v="2024-05-08T00:00:00"/>
    <n v="488"/>
    <n v="486.5"/>
  </r>
  <r>
    <x v="84"/>
    <d v="2024-03-20T00:00:00"/>
    <x v="3"/>
    <x v="2"/>
    <x v="127"/>
    <x v="0"/>
    <n v="0"/>
    <n v="0"/>
    <n v="999"/>
    <n v="156"/>
    <n v="0"/>
    <d v="2024-04-27T00:00:00"/>
    <n v="843"/>
    <n v="843"/>
  </r>
  <r>
    <x v="40"/>
    <d v="2024-02-17T00:00:00"/>
    <x v="0"/>
    <x v="1"/>
    <x v="36"/>
    <x v="2"/>
    <n v="0"/>
    <n v="0"/>
    <n v="636"/>
    <n v="234"/>
    <n v="0"/>
    <d v="2024-05-05T00:00:00"/>
    <n v="402"/>
    <n v="402"/>
  </r>
  <r>
    <x v="19"/>
    <d v="2024-03-13T00:00:00"/>
    <x v="4"/>
    <x v="2"/>
    <x v="126"/>
    <x v="0"/>
    <n v="500"/>
    <n v="0"/>
    <n v="146"/>
    <n v="142"/>
    <n v="15"/>
    <d v="2024-04-24T00:00:00"/>
    <n v="4"/>
    <n v="-11"/>
  </r>
  <r>
    <x v="85"/>
    <d v="2024-02-12T00:00:00"/>
    <x v="1"/>
    <x v="2"/>
    <x v="128"/>
    <x v="2"/>
    <n v="500"/>
    <n v="250"/>
    <n v="833"/>
    <n v="440"/>
    <n v="15"/>
    <d v="2024-03-15T00:00:00"/>
    <n v="393"/>
    <n v="128"/>
  </r>
  <r>
    <x v="55"/>
    <d v="2024-06-23T00:00:00"/>
    <x v="4"/>
    <x v="2"/>
    <x v="95"/>
    <x v="0"/>
    <n v="20"/>
    <n v="0"/>
    <n v="747"/>
    <n v="479"/>
    <n v="0.6"/>
    <d v="2024-07-31T00:00:00"/>
    <n v="268"/>
    <n v="267.39999999999998"/>
  </r>
  <r>
    <x v="12"/>
    <d v="2024-03-10T00:00:00"/>
    <x v="3"/>
    <x v="0"/>
    <x v="129"/>
    <x v="3"/>
    <n v="100"/>
    <n v="20"/>
    <n v="90"/>
    <n v="0"/>
    <n v="3"/>
    <d v="2024-05-10T00:00:00"/>
    <n v="90"/>
    <n v="67"/>
  </r>
  <r>
    <x v="24"/>
    <d v="2024-03-22T00:00:00"/>
    <x v="3"/>
    <x v="2"/>
    <x v="130"/>
    <x v="0"/>
    <n v="0"/>
    <n v="0"/>
    <n v="915"/>
    <n v="180"/>
    <n v="0"/>
    <d v="2024-05-07T00:00:00"/>
    <n v="735"/>
    <n v="735"/>
  </r>
  <r>
    <x v="68"/>
    <d v="2024-01-19T00:00:00"/>
    <x v="0"/>
    <x v="0"/>
    <x v="80"/>
    <x v="1"/>
    <n v="500"/>
    <n v="100"/>
    <n v="737"/>
    <n v="166"/>
    <n v="15"/>
    <d v="2024-07-22T00:00:00"/>
    <n v="571"/>
    <n v="456"/>
  </r>
  <r>
    <x v="23"/>
    <d v="2024-05-26T00:00:00"/>
    <x v="4"/>
    <x v="2"/>
    <x v="131"/>
    <x v="0"/>
    <n v="20"/>
    <n v="0"/>
    <n v="785"/>
    <n v="732"/>
    <n v="0.6"/>
    <d v="2024-09-03T00:00:00"/>
    <n v="53"/>
    <n v="52.4"/>
  </r>
  <r>
    <x v="58"/>
    <d v="2024-01-25T00:00:00"/>
    <x v="0"/>
    <x v="2"/>
    <x v="132"/>
    <x v="3"/>
    <n v="500"/>
    <n v="100"/>
    <n v="181"/>
    <n v="28"/>
    <n v="15"/>
    <d v="2024-06-20T00:00:00"/>
    <n v="153"/>
    <n v="38"/>
  </r>
  <r>
    <x v="86"/>
    <d v="2024-06-04T00:00:00"/>
    <x v="3"/>
    <x v="0"/>
    <x v="100"/>
    <x v="1"/>
    <n v="500"/>
    <n v="250"/>
    <n v="369"/>
    <n v="240"/>
    <n v="15"/>
    <d v="2024-09-12T00:00:00"/>
    <n v="129"/>
    <n v="-136"/>
  </r>
  <r>
    <x v="87"/>
    <d v="2024-03-31T00:00:00"/>
    <x v="1"/>
    <x v="2"/>
    <x v="91"/>
    <x v="1"/>
    <n v="0"/>
    <n v="0"/>
    <n v="543"/>
    <n v="154"/>
    <n v="0"/>
    <d v="2024-07-12T00:00:00"/>
    <n v="389"/>
    <n v="389"/>
  </r>
  <r>
    <x v="74"/>
    <d v="2024-01-21T00:00:00"/>
    <x v="0"/>
    <x v="2"/>
    <x v="78"/>
    <x v="2"/>
    <n v="500"/>
    <n v="100"/>
    <n v="979"/>
    <n v="349"/>
    <n v="15"/>
    <d v="2024-05-09T00:00:00"/>
    <n v="630"/>
    <n v="515"/>
  </r>
  <r>
    <x v="1"/>
    <d v="2024-02-02T00:00:00"/>
    <x v="2"/>
    <x v="2"/>
    <x v="109"/>
    <x v="0"/>
    <n v="20"/>
    <n v="4"/>
    <n v="989"/>
    <n v="98"/>
    <n v="0.6"/>
    <d v="2024-07-31T00:00:00"/>
    <n v="891"/>
    <n v="886.4"/>
  </r>
  <r>
    <x v="40"/>
    <d v="2024-02-04T00:00:00"/>
    <x v="1"/>
    <x v="1"/>
    <x v="51"/>
    <x v="2"/>
    <n v="500"/>
    <n v="0"/>
    <n v="711"/>
    <n v="486"/>
    <n v="15"/>
    <d v="2024-06-16T00:00:00"/>
    <n v="225"/>
    <n v="210"/>
  </r>
  <r>
    <x v="84"/>
    <d v="2024-06-16T00:00:00"/>
    <x v="1"/>
    <x v="2"/>
    <x v="38"/>
    <x v="3"/>
    <n v="0"/>
    <n v="0"/>
    <n v="687"/>
    <n v="451"/>
    <n v="0"/>
    <d v="2024-12-17T00:00:00"/>
    <n v="236"/>
    <n v="236"/>
  </r>
  <r>
    <x v="23"/>
    <d v="2024-05-10T00:00:00"/>
    <x v="1"/>
    <x v="2"/>
    <x v="91"/>
    <x v="3"/>
    <n v="20"/>
    <n v="0"/>
    <n v="356"/>
    <n v="64"/>
    <n v="0.6"/>
    <d v="2024-07-30T00:00:00"/>
    <n v="292"/>
    <n v="291.39999999999998"/>
  </r>
  <r>
    <x v="29"/>
    <d v="2024-06-02T00:00:00"/>
    <x v="4"/>
    <x v="0"/>
    <x v="133"/>
    <x v="3"/>
    <n v="20"/>
    <n v="10"/>
    <n v="473"/>
    <n v="427"/>
    <n v="0.6"/>
    <d v="2024-07-28T00:00:00"/>
    <n v="46"/>
    <n v="35.4"/>
  </r>
  <r>
    <x v="2"/>
    <d v="2024-04-14T00:00:00"/>
    <x v="3"/>
    <x v="0"/>
    <x v="105"/>
    <x v="3"/>
    <n v="50"/>
    <n v="10"/>
    <n v="37"/>
    <n v="25"/>
    <n v="1.5"/>
    <d v="2024-08-20T00:00:00"/>
    <n v="12"/>
    <n v="0.5"/>
  </r>
  <r>
    <x v="54"/>
    <d v="2024-01-20T00:00:00"/>
    <x v="1"/>
    <x v="2"/>
    <x v="84"/>
    <x v="3"/>
    <n v="200"/>
    <n v="40"/>
    <n v="17"/>
    <n v="10"/>
    <n v="6"/>
    <d v="2024-04-11T00:00:00"/>
    <n v="7"/>
    <n v="-39"/>
  </r>
  <r>
    <x v="88"/>
    <d v="2024-05-01T00:00:00"/>
    <x v="0"/>
    <x v="2"/>
    <x v="45"/>
    <x v="0"/>
    <n v="200"/>
    <n v="40"/>
    <n v="883"/>
    <n v="679"/>
    <n v="6"/>
    <d v="2024-08-13T00:00:00"/>
    <n v="204"/>
    <n v="158"/>
  </r>
  <r>
    <x v="53"/>
    <d v="2024-01-18T00:00:00"/>
    <x v="4"/>
    <x v="0"/>
    <x v="91"/>
    <x v="0"/>
    <n v="500"/>
    <n v="250"/>
    <n v="236"/>
    <n v="218"/>
    <n v="15"/>
    <d v="2024-07-20T00:00:00"/>
    <n v="18"/>
    <n v="-247"/>
  </r>
  <r>
    <x v="56"/>
    <d v="2024-01-30T00:00:00"/>
    <x v="1"/>
    <x v="1"/>
    <x v="134"/>
    <x v="1"/>
    <n v="0"/>
    <n v="0"/>
    <n v="798"/>
    <n v="160"/>
    <n v="0"/>
    <d v="2024-05-29T00:00:00"/>
    <n v="638"/>
    <n v="638"/>
  </r>
  <r>
    <x v="32"/>
    <d v="2024-01-01T00:00:00"/>
    <x v="2"/>
    <x v="1"/>
    <x v="47"/>
    <x v="2"/>
    <n v="100"/>
    <n v="0"/>
    <n v="901"/>
    <n v="657"/>
    <n v="3"/>
    <d v="2024-07-05T00:00:00"/>
    <n v="244"/>
    <n v="241"/>
  </r>
  <r>
    <x v="8"/>
    <d v="2024-02-10T00:00:00"/>
    <x v="2"/>
    <x v="0"/>
    <x v="93"/>
    <x v="2"/>
    <n v="20"/>
    <n v="10"/>
    <n v="831"/>
    <n v="716"/>
    <n v="0.6"/>
    <d v="2024-06-12T00:00:00"/>
    <n v="115"/>
    <n v="104.4"/>
  </r>
  <r>
    <x v="27"/>
    <d v="2024-05-05T00:00:00"/>
    <x v="3"/>
    <x v="2"/>
    <x v="135"/>
    <x v="3"/>
    <n v="0"/>
    <n v="0"/>
    <n v="467"/>
    <n v="59"/>
    <n v="0"/>
    <d v="2024-06-13T00:00:00"/>
    <n v="408"/>
    <n v="408"/>
  </r>
  <r>
    <x v="3"/>
    <d v="2024-05-29T00:00:00"/>
    <x v="1"/>
    <x v="2"/>
    <x v="88"/>
    <x v="0"/>
    <n v="100"/>
    <n v="50"/>
    <n v="34"/>
    <n v="28"/>
    <n v="3"/>
    <d v="2024-07-03T00:00:00"/>
    <n v="6"/>
    <n v="-47"/>
  </r>
  <r>
    <x v="33"/>
    <d v="2024-06-15T00:00:00"/>
    <x v="1"/>
    <x v="2"/>
    <x v="63"/>
    <x v="1"/>
    <n v="100"/>
    <n v="50"/>
    <n v="71"/>
    <n v="34"/>
    <n v="3"/>
    <d v="2024-08-15T00:00:00"/>
    <n v="37"/>
    <n v="-16"/>
  </r>
  <r>
    <x v="89"/>
    <d v="2024-03-06T00:00:00"/>
    <x v="2"/>
    <x v="0"/>
    <x v="136"/>
    <x v="1"/>
    <n v="50"/>
    <n v="25"/>
    <n v="710"/>
    <n v="664"/>
    <n v="1.5"/>
    <d v="2024-05-27T00:00:00"/>
    <n v="46"/>
    <n v="19.5"/>
  </r>
  <r>
    <x v="33"/>
    <d v="2024-06-17T00:00:00"/>
    <x v="3"/>
    <x v="2"/>
    <x v="70"/>
    <x v="1"/>
    <n v="0"/>
    <n v="0"/>
    <n v="97"/>
    <n v="31"/>
    <n v="0"/>
    <d v="2024-10-18T00:00:00"/>
    <n v="66"/>
    <n v="66"/>
  </r>
  <r>
    <x v="22"/>
    <d v="2024-05-06T00:00:00"/>
    <x v="0"/>
    <x v="2"/>
    <x v="32"/>
    <x v="0"/>
    <n v="20"/>
    <n v="0"/>
    <n v="858"/>
    <n v="553"/>
    <n v="0.6"/>
    <d v="2024-07-14T00:00:00"/>
    <n v="305"/>
    <n v="304.39999999999998"/>
  </r>
  <r>
    <x v="13"/>
    <d v="2024-01-22T00:00:00"/>
    <x v="1"/>
    <x v="2"/>
    <x v="137"/>
    <x v="2"/>
    <n v="100"/>
    <n v="20"/>
    <n v="924"/>
    <n v="782"/>
    <n v="3"/>
    <d v="2024-04-26T00:00:00"/>
    <n v="142"/>
    <n v="119"/>
  </r>
  <r>
    <x v="3"/>
    <d v="2024-06-27T00:00:00"/>
    <x v="4"/>
    <x v="1"/>
    <x v="138"/>
    <x v="3"/>
    <n v="20"/>
    <n v="10"/>
    <n v="157"/>
    <n v="43"/>
    <n v="0.6"/>
    <d v="2024-12-09T00:00:00"/>
    <n v="114"/>
    <n v="103.4"/>
  </r>
  <r>
    <x v="13"/>
    <d v="2024-02-02T00:00:00"/>
    <x v="3"/>
    <x v="0"/>
    <x v="139"/>
    <x v="1"/>
    <n v="0"/>
    <n v="0"/>
    <n v="861"/>
    <n v="213"/>
    <n v="0"/>
    <d v="2024-05-23T00:00:00"/>
    <n v="648"/>
    <n v="648"/>
  </r>
  <r>
    <x v="82"/>
    <d v="2024-02-25T00:00:00"/>
    <x v="1"/>
    <x v="2"/>
    <x v="140"/>
    <x v="3"/>
    <n v="100"/>
    <n v="50"/>
    <n v="182"/>
    <n v="179"/>
    <n v="3"/>
    <d v="2024-04-07T00:00:00"/>
    <n v="3"/>
    <n v="-50"/>
  </r>
  <r>
    <x v="48"/>
    <d v="2024-02-06T00:00:00"/>
    <x v="2"/>
    <x v="0"/>
    <x v="71"/>
    <x v="0"/>
    <n v="0"/>
    <n v="0"/>
    <n v="323"/>
    <n v="65"/>
    <n v="0"/>
    <d v="2024-07-25T00:00:00"/>
    <n v="258"/>
    <n v="258"/>
  </r>
  <r>
    <x v="85"/>
    <d v="2024-04-12T00:00:00"/>
    <x v="2"/>
    <x v="0"/>
    <x v="87"/>
    <x v="1"/>
    <n v="100"/>
    <n v="50"/>
    <n v="298"/>
    <n v="78"/>
    <n v="3"/>
    <d v="2024-08-26T00:00:00"/>
    <n v="220"/>
    <n v="167"/>
  </r>
  <r>
    <x v="33"/>
    <d v="2024-03-13T00:00:00"/>
    <x v="4"/>
    <x v="1"/>
    <x v="141"/>
    <x v="2"/>
    <n v="100"/>
    <n v="0"/>
    <n v="238"/>
    <n v="5"/>
    <n v="3"/>
    <d v="2024-09-26T00:00:00"/>
    <n v="233"/>
    <n v="230"/>
  </r>
  <r>
    <x v="90"/>
    <d v="2024-06-27T00:00:00"/>
    <x v="3"/>
    <x v="1"/>
    <x v="29"/>
    <x v="3"/>
    <n v="20"/>
    <n v="10"/>
    <n v="415"/>
    <n v="241"/>
    <n v="0.6"/>
    <d v="2024-07-02T00:00:00"/>
    <n v="174"/>
    <n v="163.4"/>
  </r>
  <r>
    <x v="82"/>
    <d v="2024-03-23T00:00:00"/>
    <x v="3"/>
    <x v="2"/>
    <x v="142"/>
    <x v="0"/>
    <n v="500"/>
    <n v="100"/>
    <n v="578"/>
    <n v="140"/>
    <n v="15"/>
    <d v="2024-04-09T00:00:00"/>
    <n v="438"/>
    <n v="323"/>
  </r>
  <r>
    <x v="53"/>
    <d v="2024-03-27T00:00:00"/>
    <x v="2"/>
    <x v="0"/>
    <x v="143"/>
    <x v="1"/>
    <n v="500"/>
    <n v="100"/>
    <n v="219"/>
    <n v="185"/>
    <n v="15"/>
    <d v="2024-05-11T00:00:00"/>
    <n v="34"/>
    <n v="-81"/>
  </r>
  <r>
    <x v="48"/>
    <d v="2024-02-12T00:00:00"/>
    <x v="4"/>
    <x v="0"/>
    <x v="54"/>
    <x v="0"/>
    <n v="200"/>
    <n v="0"/>
    <n v="568"/>
    <n v="378"/>
    <n v="6"/>
    <d v="2024-04-06T00:00:00"/>
    <n v="190"/>
    <n v="184"/>
  </r>
  <r>
    <x v="0"/>
    <d v="2024-01-18T00:00:00"/>
    <x v="4"/>
    <x v="0"/>
    <x v="107"/>
    <x v="0"/>
    <n v="100"/>
    <n v="20"/>
    <n v="858"/>
    <n v="419"/>
    <n v="3"/>
    <d v="2024-05-13T00:00:00"/>
    <n v="439"/>
    <n v="416"/>
  </r>
  <r>
    <x v="22"/>
    <d v="2024-01-19T00:00:00"/>
    <x v="1"/>
    <x v="2"/>
    <x v="144"/>
    <x v="3"/>
    <n v="20"/>
    <n v="0"/>
    <n v="214"/>
    <n v="136"/>
    <n v="0.6"/>
    <d v="2024-03-22T00:00:00"/>
    <n v="78"/>
    <n v="77.400000000000006"/>
  </r>
  <r>
    <x v="69"/>
    <d v="2024-03-16T00:00:00"/>
    <x v="1"/>
    <x v="0"/>
    <x v="145"/>
    <x v="1"/>
    <n v="500"/>
    <n v="100"/>
    <n v="277"/>
    <n v="27"/>
    <n v="15"/>
    <d v="2024-08-10T00:00:00"/>
    <n v="250"/>
    <n v="135"/>
  </r>
  <r>
    <x v="82"/>
    <d v="2024-06-28T00:00:00"/>
    <x v="3"/>
    <x v="1"/>
    <x v="53"/>
    <x v="2"/>
    <n v="500"/>
    <n v="0"/>
    <n v="531"/>
    <n v="173"/>
    <n v="15"/>
    <d v="2024-08-11T00:00:00"/>
    <n v="358"/>
    <n v="343"/>
  </r>
  <r>
    <x v="51"/>
    <d v="2024-01-15T00:00:00"/>
    <x v="3"/>
    <x v="2"/>
    <x v="146"/>
    <x v="2"/>
    <n v="50"/>
    <n v="10"/>
    <n v="976"/>
    <n v="352"/>
    <n v="1.5"/>
    <d v="2024-02-07T00:00:00"/>
    <n v="624"/>
    <n v="612.5"/>
  </r>
  <r>
    <x v="26"/>
    <d v="2024-02-24T00:00:00"/>
    <x v="1"/>
    <x v="0"/>
    <x v="147"/>
    <x v="3"/>
    <n v="50"/>
    <n v="0"/>
    <n v="929"/>
    <n v="88"/>
    <n v="1.5"/>
    <d v="2024-04-11T00:00:00"/>
    <n v="841"/>
    <n v="839.5"/>
  </r>
  <r>
    <x v="85"/>
    <d v="2024-06-22T00:00:00"/>
    <x v="1"/>
    <x v="0"/>
    <x v="131"/>
    <x v="1"/>
    <n v="0"/>
    <n v="0"/>
    <n v="934"/>
    <n v="553"/>
    <n v="0"/>
    <d v="2024-09-16T00:00:00"/>
    <n v="381"/>
    <n v="381"/>
  </r>
  <r>
    <x v="4"/>
    <d v="2024-06-23T00:00:00"/>
    <x v="3"/>
    <x v="0"/>
    <x v="90"/>
    <x v="0"/>
    <n v="500"/>
    <n v="0"/>
    <n v="95"/>
    <n v="3"/>
    <n v="15"/>
    <d v="2025-01-01T00:00:00"/>
    <n v="92"/>
    <n v="77"/>
  </r>
  <r>
    <x v="72"/>
    <d v="2024-04-16T00:00:00"/>
    <x v="2"/>
    <x v="1"/>
    <x v="148"/>
    <x v="2"/>
    <n v="0"/>
    <n v="0"/>
    <n v="854"/>
    <n v="227"/>
    <n v="0"/>
    <d v="2024-09-22T00:00:00"/>
    <n v="627"/>
    <n v="627"/>
  </r>
  <r>
    <x v="48"/>
    <d v="2024-02-10T00:00:00"/>
    <x v="3"/>
    <x v="0"/>
    <x v="40"/>
    <x v="3"/>
    <n v="50"/>
    <n v="25"/>
    <n v="435"/>
    <n v="286"/>
    <n v="1.5"/>
    <d v="2024-06-16T00:00:00"/>
    <n v="149"/>
    <n v="122.5"/>
  </r>
  <r>
    <x v="38"/>
    <d v="2024-01-19T00:00:00"/>
    <x v="4"/>
    <x v="0"/>
    <x v="8"/>
    <x v="2"/>
    <n v="500"/>
    <n v="0"/>
    <n v="163"/>
    <n v="154"/>
    <n v="15"/>
    <d v="2024-06-15T00:00:00"/>
    <n v="9"/>
    <n v="-6"/>
  </r>
  <r>
    <x v="21"/>
    <d v="2024-04-18T00:00:00"/>
    <x v="1"/>
    <x v="1"/>
    <x v="149"/>
    <x v="3"/>
    <n v="50"/>
    <n v="25"/>
    <n v="897"/>
    <n v="201"/>
    <n v="1.5"/>
    <d v="2024-08-04T00:00:00"/>
    <n v="696"/>
    <n v="669.5"/>
  </r>
  <r>
    <x v="78"/>
    <d v="2024-04-17T00:00:00"/>
    <x v="4"/>
    <x v="1"/>
    <x v="149"/>
    <x v="1"/>
    <n v="100"/>
    <n v="50"/>
    <n v="226"/>
    <n v="221"/>
    <n v="3"/>
    <d v="2024-08-05T00:00:00"/>
    <n v="5"/>
    <n v="-48"/>
  </r>
  <r>
    <x v="83"/>
    <d v="2024-01-14T00:00:00"/>
    <x v="3"/>
    <x v="2"/>
    <x v="135"/>
    <x v="1"/>
    <n v="20"/>
    <n v="0"/>
    <n v="74"/>
    <n v="48"/>
    <n v="0.6"/>
    <d v="2024-06-15T00:00:00"/>
    <n v="26"/>
    <n v="25.4"/>
  </r>
  <r>
    <x v="91"/>
    <d v="2024-03-28T00:00:00"/>
    <x v="3"/>
    <x v="0"/>
    <x v="150"/>
    <x v="2"/>
    <n v="20"/>
    <n v="0"/>
    <n v="178"/>
    <n v="2"/>
    <n v="0.6"/>
    <d v="2024-07-15T00:00:00"/>
    <n v="176"/>
    <n v="175.4"/>
  </r>
  <r>
    <x v="17"/>
    <d v="2024-02-08T00:00:00"/>
    <x v="1"/>
    <x v="2"/>
    <x v="151"/>
    <x v="1"/>
    <n v="20"/>
    <n v="10"/>
    <n v="259"/>
    <n v="1"/>
    <n v="0.6"/>
    <d v="2024-08-12T00:00:00"/>
    <n v="258"/>
    <n v="247.4"/>
  </r>
  <r>
    <x v="92"/>
    <d v="2024-02-19T00:00:00"/>
    <x v="1"/>
    <x v="2"/>
    <x v="143"/>
    <x v="2"/>
    <n v="200"/>
    <n v="40"/>
    <n v="800"/>
    <n v="125"/>
    <n v="6"/>
    <d v="2024-05-06T00:00:00"/>
    <n v="675"/>
    <n v="629"/>
  </r>
  <r>
    <x v="40"/>
    <d v="2024-03-05T00:00:00"/>
    <x v="4"/>
    <x v="1"/>
    <x v="152"/>
    <x v="1"/>
    <n v="500"/>
    <n v="250"/>
    <n v="197"/>
    <n v="54"/>
    <n v="15"/>
    <d v="2024-08-30T00:00:00"/>
    <n v="143"/>
    <n v="-122"/>
  </r>
  <r>
    <x v="63"/>
    <d v="2024-03-28T00:00:00"/>
    <x v="2"/>
    <x v="2"/>
    <x v="129"/>
    <x v="3"/>
    <n v="0"/>
    <n v="0"/>
    <n v="470"/>
    <n v="121"/>
    <n v="0"/>
    <d v="2024-04-29T00:00:00"/>
    <n v="349"/>
    <n v="349"/>
  </r>
  <r>
    <x v="15"/>
    <d v="2024-05-29T00:00:00"/>
    <x v="0"/>
    <x v="1"/>
    <x v="111"/>
    <x v="3"/>
    <n v="500"/>
    <n v="100"/>
    <n v="574"/>
    <n v="356"/>
    <n v="15"/>
    <d v="2024-07-27T00:00:00"/>
    <n v="218"/>
    <n v="103"/>
  </r>
  <r>
    <x v="7"/>
    <d v="2024-03-07T00:00:00"/>
    <x v="1"/>
    <x v="1"/>
    <x v="132"/>
    <x v="1"/>
    <n v="200"/>
    <n v="0"/>
    <n v="130"/>
    <n v="30"/>
    <n v="6"/>
    <d v="2024-06-18T00:00:00"/>
    <n v="100"/>
    <n v="94"/>
  </r>
  <r>
    <x v="0"/>
    <d v="2024-05-21T00:00:00"/>
    <x v="3"/>
    <x v="0"/>
    <x v="152"/>
    <x v="1"/>
    <n v="20"/>
    <n v="4"/>
    <n v="638"/>
    <n v="630"/>
    <n v="0.6"/>
    <d v="2024-08-14T00:00:00"/>
    <n v="8"/>
    <n v="3.4"/>
  </r>
  <r>
    <x v="70"/>
    <d v="2024-05-21T00:00:00"/>
    <x v="2"/>
    <x v="1"/>
    <x v="153"/>
    <x v="0"/>
    <n v="100"/>
    <n v="20"/>
    <n v="803"/>
    <n v="503"/>
    <n v="3"/>
    <d v="2024-11-22T00:00:00"/>
    <n v="300"/>
    <n v="277"/>
  </r>
  <r>
    <x v="19"/>
    <d v="2024-01-13T00:00:00"/>
    <x v="4"/>
    <x v="0"/>
    <x v="36"/>
    <x v="2"/>
    <n v="20"/>
    <n v="4"/>
    <n v="997"/>
    <n v="195"/>
    <n v="0.6"/>
    <d v="2024-05-16T00:00:00"/>
    <n v="802"/>
    <n v="797.4"/>
  </r>
  <r>
    <x v="19"/>
    <d v="2024-03-08T00:00:00"/>
    <x v="1"/>
    <x v="0"/>
    <x v="154"/>
    <x v="0"/>
    <n v="0"/>
    <n v="0"/>
    <n v="857"/>
    <n v="190"/>
    <n v="0"/>
    <d v="2024-06-29T00:00:00"/>
    <n v="667"/>
    <n v="667"/>
  </r>
  <r>
    <x v="78"/>
    <d v="2024-03-27T00:00:00"/>
    <x v="0"/>
    <x v="1"/>
    <x v="131"/>
    <x v="3"/>
    <n v="0"/>
    <n v="0"/>
    <n v="464"/>
    <n v="200"/>
    <n v="0"/>
    <d v="2024-09-22T00:00:00"/>
    <n v="264"/>
    <n v="264"/>
  </r>
  <r>
    <x v="34"/>
    <d v="2024-01-26T00:00:00"/>
    <x v="1"/>
    <x v="0"/>
    <x v="144"/>
    <x v="2"/>
    <n v="500"/>
    <n v="100"/>
    <n v="345"/>
    <n v="171"/>
    <n v="15"/>
    <d v="2024-03-18T00:00:00"/>
    <n v="174"/>
    <n v="59"/>
  </r>
  <r>
    <x v="78"/>
    <d v="2024-05-01T00:00:00"/>
    <x v="3"/>
    <x v="0"/>
    <x v="18"/>
    <x v="3"/>
    <n v="0"/>
    <n v="0"/>
    <n v="913"/>
    <n v="456"/>
    <n v="0"/>
    <d v="2024-05-23T00:00:00"/>
    <n v="457"/>
    <n v="457"/>
  </r>
  <r>
    <x v="16"/>
    <d v="2024-03-15T00:00:00"/>
    <x v="3"/>
    <x v="2"/>
    <x v="86"/>
    <x v="2"/>
    <n v="200"/>
    <n v="0"/>
    <n v="534"/>
    <n v="398"/>
    <n v="6"/>
    <d v="2024-06-03T00:00:00"/>
    <n v="136"/>
    <n v="130"/>
  </r>
  <r>
    <x v="53"/>
    <d v="2024-03-01T00:00:00"/>
    <x v="2"/>
    <x v="2"/>
    <x v="155"/>
    <x v="3"/>
    <n v="100"/>
    <n v="20"/>
    <n v="324"/>
    <n v="284"/>
    <n v="3"/>
    <d v="2024-08-20T00:00:00"/>
    <n v="40"/>
    <n v="17"/>
  </r>
  <r>
    <x v="22"/>
    <d v="2024-06-22T00:00:00"/>
    <x v="0"/>
    <x v="1"/>
    <x v="38"/>
    <x v="1"/>
    <n v="500"/>
    <n v="250"/>
    <n v="393"/>
    <n v="5"/>
    <n v="15"/>
    <d v="2024-12-20T00:00:00"/>
    <n v="388"/>
    <n v="123"/>
  </r>
  <r>
    <x v="25"/>
    <d v="2024-06-25T00:00:00"/>
    <x v="0"/>
    <x v="0"/>
    <x v="156"/>
    <x v="1"/>
    <n v="500"/>
    <n v="250"/>
    <n v="155"/>
    <n v="83"/>
    <n v="15"/>
    <d v="2024-11-06T00:00:00"/>
    <n v="72"/>
    <n v="-193"/>
  </r>
  <r>
    <x v="93"/>
    <d v="2024-04-28T00:00:00"/>
    <x v="2"/>
    <x v="1"/>
    <x v="51"/>
    <x v="0"/>
    <n v="200"/>
    <n v="0"/>
    <n v="665"/>
    <n v="141"/>
    <n v="6"/>
    <d v="2024-05-23T00:00:00"/>
    <n v="524"/>
    <n v="518"/>
  </r>
  <r>
    <x v="24"/>
    <d v="2024-04-28T00:00:00"/>
    <x v="1"/>
    <x v="2"/>
    <x v="88"/>
    <x v="0"/>
    <n v="20"/>
    <n v="0"/>
    <n v="977"/>
    <n v="72"/>
    <n v="0.6"/>
    <d v="2024-06-29T00:00:00"/>
    <n v="905"/>
    <n v="904.4"/>
  </r>
  <r>
    <x v="50"/>
    <d v="2024-05-06T00:00:00"/>
    <x v="4"/>
    <x v="2"/>
    <x v="86"/>
    <x v="3"/>
    <n v="200"/>
    <n v="0"/>
    <n v="681"/>
    <n v="242"/>
    <n v="6"/>
    <d v="2024-05-20T00:00:00"/>
    <n v="439"/>
    <n v="433"/>
  </r>
  <r>
    <x v="67"/>
    <d v="2024-01-08T00:00:00"/>
    <x v="0"/>
    <x v="1"/>
    <x v="2"/>
    <x v="0"/>
    <n v="100"/>
    <n v="50"/>
    <n v="809"/>
    <n v="264"/>
    <n v="3"/>
    <d v="2024-04-11T00:00:00"/>
    <n v="545"/>
    <n v="492"/>
  </r>
  <r>
    <x v="66"/>
    <d v="2024-01-31T00:00:00"/>
    <x v="2"/>
    <x v="0"/>
    <x v="89"/>
    <x v="1"/>
    <n v="20"/>
    <n v="10"/>
    <n v="408"/>
    <n v="120"/>
    <n v="0.6"/>
    <d v="2024-05-23T00:00:00"/>
    <n v="288"/>
    <n v="277.39999999999998"/>
  </r>
  <r>
    <x v="94"/>
    <d v="2024-02-09T00:00:00"/>
    <x v="0"/>
    <x v="2"/>
    <x v="118"/>
    <x v="3"/>
    <n v="100"/>
    <n v="20"/>
    <n v="857"/>
    <n v="178"/>
    <n v="3"/>
    <d v="2024-02-29T00:00:00"/>
    <n v="679"/>
    <n v="656"/>
  </r>
  <r>
    <x v="5"/>
    <d v="2024-05-15T00:00:00"/>
    <x v="3"/>
    <x v="2"/>
    <x v="157"/>
    <x v="0"/>
    <n v="500"/>
    <n v="0"/>
    <n v="566"/>
    <n v="479"/>
    <n v="15"/>
    <d v="2024-06-28T00:00:00"/>
    <n v="87"/>
    <n v="72"/>
  </r>
  <r>
    <x v="62"/>
    <d v="2024-06-29T00:00:00"/>
    <x v="3"/>
    <x v="2"/>
    <x v="158"/>
    <x v="2"/>
    <n v="50"/>
    <n v="0"/>
    <n v="860"/>
    <n v="716"/>
    <n v="1.5"/>
    <d v="2024-08-31T00:00:00"/>
    <n v="144"/>
    <n v="142.5"/>
  </r>
  <r>
    <x v="9"/>
    <d v="2024-04-12T00:00:00"/>
    <x v="3"/>
    <x v="1"/>
    <x v="136"/>
    <x v="2"/>
    <n v="200"/>
    <n v="100"/>
    <n v="977"/>
    <n v="295"/>
    <n v="6"/>
    <d v="2024-05-26T00:00:00"/>
    <n v="682"/>
    <n v="576"/>
  </r>
  <r>
    <x v="66"/>
    <d v="2024-01-11T00:00:00"/>
    <x v="1"/>
    <x v="0"/>
    <x v="159"/>
    <x v="0"/>
    <n v="0"/>
    <n v="0"/>
    <n v="486"/>
    <n v="312"/>
    <n v="0"/>
    <d v="2024-02-25T00:00:00"/>
    <n v="174"/>
    <n v="174"/>
  </r>
  <r>
    <x v="61"/>
    <d v="2024-03-24T00:00:00"/>
    <x v="4"/>
    <x v="2"/>
    <x v="59"/>
    <x v="1"/>
    <n v="100"/>
    <n v="20"/>
    <n v="442"/>
    <n v="99"/>
    <n v="3"/>
    <d v="2024-09-22T00:00:00"/>
    <n v="343"/>
    <n v="320"/>
  </r>
  <r>
    <x v="68"/>
    <d v="2024-06-09T00:00:00"/>
    <x v="4"/>
    <x v="1"/>
    <x v="27"/>
    <x v="2"/>
    <n v="200"/>
    <n v="40"/>
    <n v="869"/>
    <n v="167"/>
    <n v="6"/>
    <d v="2024-10-16T00:00:00"/>
    <n v="702"/>
    <n v="656"/>
  </r>
  <r>
    <x v="36"/>
    <d v="2024-04-06T00:00:00"/>
    <x v="3"/>
    <x v="2"/>
    <x v="63"/>
    <x v="1"/>
    <n v="200"/>
    <n v="40"/>
    <n v="433"/>
    <n v="310"/>
    <n v="6"/>
    <d v="2024-08-15T00:00:00"/>
    <n v="123"/>
    <n v="77"/>
  </r>
  <r>
    <x v="67"/>
    <d v="2024-06-06T00:00:00"/>
    <x v="1"/>
    <x v="2"/>
    <x v="72"/>
    <x v="2"/>
    <n v="100"/>
    <n v="20"/>
    <n v="931"/>
    <n v="689"/>
    <n v="3"/>
    <d v="2024-09-30T00:00:00"/>
    <n v="242"/>
    <n v="219"/>
  </r>
  <r>
    <x v="17"/>
    <d v="2024-06-02T00:00:00"/>
    <x v="4"/>
    <x v="1"/>
    <x v="71"/>
    <x v="3"/>
    <n v="50"/>
    <n v="10"/>
    <n v="921"/>
    <n v="600"/>
    <n v="1.5"/>
    <d v="2024-07-06T00:00:00"/>
    <n v="321"/>
    <n v="309.5"/>
  </r>
  <r>
    <x v="95"/>
    <d v="2024-01-28T00:00:00"/>
    <x v="2"/>
    <x v="1"/>
    <x v="102"/>
    <x v="3"/>
    <n v="50"/>
    <n v="25"/>
    <n v="278"/>
    <n v="214"/>
    <n v="1.5"/>
    <d v="2024-06-29T00:00:00"/>
    <n v="64"/>
    <n v="37.5"/>
  </r>
  <r>
    <x v="15"/>
    <d v="2024-01-05T00:00:00"/>
    <x v="0"/>
    <x v="2"/>
    <x v="160"/>
    <x v="2"/>
    <n v="20"/>
    <n v="4"/>
    <n v="843"/>
    <n v="738"/>
    <n v="0.6"/>
    <d v="2024-05-26T00:00:00"/>
    <n v="105"/>
    <n v="100.4"/>
  </r>
  <r>
    <x v="37"/>
    <d v="2024-01-30T00:00:00"/>
    <x v="2"/>
    <x v="2"/>
    <x v="98"/>
    <x v="2"/>
    <n v="100"/>
    <n v="50"/>
    <n v="936"/>
    <n v="294"/>
    <n v="3"/>
    <d v="2024-02-24T00:00:00"/>
    <n v="642"/>
    <n v="589"/>
  </r>
  <r>
    <x v="85"/>
    <d v="2024-04-29T00:00:00"/>
    <x v="1"/>
    <x v="1"/>
    <x v="76"/>
    <x v="0"/>
    <n v="20"/>
    <n v="4"/>
    <n v="535"/>
    <n v="281"/>
    <n v="0.6"/>
    <d v="2024-10-03T00:00:00"/>
    <n v="254"/>
    <n v="249.4"/>
  </r>
  <r>
    <x v="11"/>
    <d v="2024-05-09T00:00:00"/>
    <x v="0"/>
    <x v="0"/>
    <x v="40"/>
    <x v="3"/>
    <n v="50"/>
    <n v="25"/>
    <n v="769"/>
    <n v="86"/>
    <n v="1.5"/>
    <d v="2024-06-13T00:00:00"/>
    <n v="683"/>
    <n v="656.5"/>
  </r>
  <r>
    <x v="33"/>
    <d v="2024-04-17T00:00:00"/>
    <x v="1"/>
    <x v="1"/>
    <x v="32"/>
    <x v="3"/>
    <n v="100"/>
    <n v="50"/>
    <n v="870"/>
    <n v="818"/>
    <n v="3"/>
    <d v="2024-07-29T00:00:00"/>
    <n v="52"/>
    <n v="-1"/>
  </r>
  <r>
    <x v="31"/>
    <d v="2024-05-25T00:00:00"/>
    <x v="3"/>
    <x v="1"/>
    <x v="161"/>
    <x v="3"/>
    <n v="0"/>
    <n v="0"/>
    <n v="104"/>
    <n v="95"/>
    <n v="0"/>
    <d v="2024-11-03T00:00:00"/>
    <n v="9"/>
    <n v="9"/>
  </r>
  <r>
    <x v="40"/>
    <d v="2024-05-02T00:00:00"/>
    <x v="1"/>
    <x v="2"/>
    <x v="162"/>
    <x v="2"/>
    <n v="200"/>
    <n v="0"/>
    <n v="927"/>
    <n v="261"/>
    <n v="6"/>
    <d v="2024-08-16T00:00:00"/>
    <n v="666"/>
    <n v="660"/>
  </r>
  <r>
    <x v="92"/>
    <d v="2024-03-07T00:00:00"/>
    <x v="3"/>
    <x v="0"/>
    <x v="163"/>
    <x v="1"/>
    <n v="50"/>
    <n v="0"/>
    <n v="67"/>
    <n v="40"/>
    <n v="1.5"/>
    <d v="2024-03-31T00:00:00"/>
    <n v="27"/>
    <n v="25.5"/>
  </r>
  <r>
    <x v="96"/>
    <d v="2024-04-01T00:00:00"/>
    <x v="0"/>
    <x v="0"/>
    <x v="131"/>
    <x v="3"/>
    <n v="500"/>
    <n v="250"/>
    <n v="253"/>
    <n v="64"/>
    <n v="15"/>
    <d v="2024-09-27T00:00:00"/>
    <n v="189"/>
    <n v="-76"/>
  </r>
  <r>
    <x v="95"/>
    <d v="2024-03-21T00:00:00"/>
    <x v="3"/>
    <x v="1"/>
    <x v="132"/>
    <x v="2"/>
    <n v="20"/>
    <n v="4"/>
    <n v="575"/>
    <n v="476"/>
    <n v="0.6"/>
    <d v="2024-07-05T00:00:00"/>
    <n v="99"/>
    <n v="94.4"/>
  </r>
  <r>
    <x v="90"/>
    <d v="2024-03-31T00:00:00"/>
    <x v="1"/>
    <x v="0"/>
    <x v="102"/>
    <x v="0"/>
    <n v="200"/>
    <n v="100"/>
    <n v="485"/>
    <n v="0"/>
    <n v="6"/>
    <d v="2024-06-30T00:00:00"/>
    <n v="485"/>
    <n v="379"/>
  </r>
  <r>
    <x v="22"/>
    <d v="2024-05-11T00:00:00"/>
    <x v="1"/>
    <x v="2"/>
    <x v="164"/>
    <x v="3"/>
    <n v="200"/>
    <n v="40"/>
    <n v="154"/>
    <n v="73"/>
    <n v="6"/>
    <d v="2024-09-07T00:00:00"/>
    <n v="81"/>
    <n v="35"/>
  </r>
  <r>
    <x v="8"/>
    <d v="2024-03-21T00:00:00"/>
    <x v="3"/>
    <x v="1"/>
    <x v="57"/>
    <x v="0"/>
    <n v="20"/>
    <n v="10"/>
    <n v="796"/>
    <n v="57"/>
    <n v="0.6"/>
    <d v="2024-09-09T00:00:00"/>
    <n v="739"/>
    <n v="728.4"/>
  </r>
  <r>
    <x v="75"/>
    <d v="2024-03-26T00:00:00"/>
    <x v="2"/>
    <x v="0"/>
    <x v="27"/>
    <x v="1"/>
    <n v="20"/>
    <n v="10"/>
    <n v="489"/>
    <n v="143"/>
    <n v="0.6"/>
    <d v="2024-10-18T00:00:00"/>
    <n v="346"/>
    <n v="335.4"/>
  </r>
  <r>
    <x v="57"/>
    <d v="2024-04-21T00:00:00"/>
    <x v="4"/>
    <x v="2"/>
    <x v="79"/>
    <x v="3"/>
    <n v="20"/>
    <n v="4"/>
    <n v="29"/>
    <n v="20"/>
    <n v="0.6"/>
    <d v="2024-07-30T00:00:00"/>
    <n v="9"/>
    <n v="4.4000000000000004"/>
  </r>
  <r>
    <x v="63"/>
    <d v="2024-06-22T00:00:00"/>
    <x v="0"/>
    <x v="2"/>
    <x v="74"/>
    <x v="3"/>
    <n v="100"/>
    <n v="20"/>
    <n v="469"/>
    <n v="303"/>
    <n v="3"/>
    <d v="2024-08-17T00:00:00"/>
    <n v="166"/>
    <n v="143"/>
  </r>
  <r>
    <x v="24"/>
    <d v="2024-06-18T00:00:00"/>
    <x v="2"/>
    <x v="0"/>
    <x v="141"/>
    <x v="1"/>
    <n v="0"/>
    <n v="0"/>
    <n v="461"/>
    <n v="96"/>
    <n v="0"/>
    <d v="2024-09-03T00:00:00"/>
    <n v="365"/>
    <n v="365"/>
  </r>
  <r>
    <x v="41"/>
    <d v="2024-05-14T00:00:00"/>
    <x v="0"/>
    <x v="2"/>
    <x v="6"/>
    <x v="0"/>
    <n v="0"/>
    <n v="0"/>
    <n v="609"/>
    <n v="84"/>
    <n v="0"/>
    <d v="2024-09-06T00:00:00"/>
    <n v="525"/>
    <n v="525"/>
  </r>
  <r>
    <x v="84"/>
    <d v="2024-05-02T00:00:00"/>
    <x v="3"/>
    <x v="0"/>
    <x v="119"/>
    <x v="2"/>
    <n v="100"/>
    <n v="20"/>
    <n v="614"/>
    <n v="211"/>
    <n v="3"/>
    <d v="2024-07-18T00:00:00"/>
    <n v="403"/>
    <n v="380"/>
  </r>
  <r>
    <x v="37"/>
    <d v="2024-06-25T00:00:00"/>
    <x v="1"/>
    <x v="0"/>
    <x v="91"/>
    <x v="1"/>
    <n v="20"/>
    <n v="10"/>
    <n v="245"/>
    <n v="30"/>
    <n v="0.6"/>
    <d v="2024-07-30T00:00:00"/>
    <n v="215"/>
    <n v="204.4"/>
  </r>
  <r>
    <x v="69"/>
    <d v="2024-04-29T00:00:00"/>
    <x v="2"/>
    <x v="1"/>
    <x v="8"/>
    <x v="3"/>
    <n v="0"/>
    <n v="0"/>
    <n v="533"/>
    <n v="17"/>
    <n v="0"/>
    <d v="2024-06-28T00:00:00"/>
    <n v="516"/>
    <n v="516"/>
  </r>
  <r>
    <x v="91"/>
    <d v="2024-04-04T00:00:00"/>
    <x v="3"/>
    <x v="1"/>
    <x v="11"/>
    <x v="1"/>
    <n v="200"/>
    <n v="40"/>
    <n v="800"/>
    <n v="537"/>
    <n v="6"/>
    <d v="2024-08-01T00:00:00"/>
    <n v="263"/>
    <n v="217"/>
  </r>
  <r>
    <x v="46"/>
    <d v="2024-03-18T00:00:00"/>
    <x v="0"/>
    <x v="2"/>
    <x v="74"/>
    <x v="2"/>
    <n v="20"/>
    <n v="0"/>
    <n v="869"/>
    <n v="208"/>
    <n v="0.6"/>
    <d v="2024-09-02T00:00:00"/>
    <n v="661"/>
    <n v="660.4"/>
  </r>
  <r>
    <x v="80"/>
    <d v="2024-01-26T00:00:00"/>
    <x v="1"/>
    <x v="0"/>
    <x v="165"/>
    <x v="2"/>
    <n v="20"/>
    <n v="4"/>
    <n v="295"/>
    <n v="39"/>
    <n v="0.6"/>
    <d v="2024-02-16T00:00:00"/>
    <n v="256"/>
    <n v="251.4"/>
  </r>
  <r>
    <x v="15"/>
    <d v="2024-01-24T00:00:00"/>
    <x v="4"/>
    <x v="2"/>
    <x v="78"/>
    <x v="3"/>
    <n v="100"/>
    <n v="0"/>
    <n v="989"/>
    <n v="397"/>
    <n v="3"/>
    <d v="2024-04-29T00:00:00"/>
    <n v="592"/>
    <n v="589"/>
  </r>
  <r>
    <x v="82"/>
    <d v="2024-05-26T00:00:00"/>
    <x v="2"/>
    <x v="2"/>
    <x v="166"/>
    <x v="2"/>
    <n v="0"/>
    <n v="0"/>
    <n v="520"/>
    <n v="415"/>
    <n v="0"/>
    <d v="2024-09-13T00:00:00"/>
    <n v="105"/>
    <n v="105"/>
  </r>
  <r>
    <x v="19"/>
    <d v="2024-06-29T00:00:00"/>
    <x v="4"/>
    <x v="1"/>
    <x v="138"/>
    <x v="1"/>
    <n v="100"/>
    <n v="20"/>
    <n v="370"/>
    <n v="333"/>
    <n v="3"/>
    <d v="2024-12-16T00:00:00"/>
    <n v="37"/>
    <n v="14"/>
  </r>
  <r>
    <x v="80"/>
    <d v="2024-06-11T00:00:00"/>
    <x v="0"/>
    <x v="2"/>
    <x v="167"/>
    <x v="3"/>
    <n v="50"/>
    <n v="0"/>
    <n v="103"/>
    <n v="81"/>
    <n v="1.5"/>
    <d v="2024-12-05T00:00:00"/>
    <n v="22"/>
    <n v="20.5"/>
  </r>
  <r>
    <x v="44"/>
    <d v="2024-04-10T00:00:00"/>
    <x v="3"/>
    <x v="2"/>
    <x v="168"/>
    <x v="2"/>
    <n v="500"/>
    <n v="250"/>
    <n v="430"/>
    <n v="301"/>
    <n v="15"/>
    <d v="2024-09-11T00:00:00"/>
    <n v="129"/>
    <n v="-136"/>
  </r>
  <r>
    <x v="84"/>
    <d v="2024-02-02T00:00:00"/>
    <x v="1"/>
    <x v="1"/>
    <x v="79"/>
    <x v="1"/>
    <n v="50"/>
    <n v="0"/>
    <n v="30"/>
    <n v="29"/>
    <n v="1.5"/>
    <d v="2024-07-12T00:00:00"/>
    <n v="1"/>
    <n v="-0.5"/>
  </r>
  <r>
    <x v="97"/>
    <d v="2024-04-04T00:00:00"/>
    <x v="1"/>
    <x v="0"/>
    <x v="169"/>
    <x v="2"/>
    <n v="100"/>
    <n v="50"/>
    <n v="724"/>
    <n v="229"/>
    <n v="3"/>
    <d v="2024-05-30T00:00:00"/>
    <n v="495"/>
    <n v="442"/>
  </r>
  <r>
    <x v="36"/>
    <d v="2024-02-20T00:00:00"/>
    <x v="3"/>
    <x v="0"/>
    <x v="136"/>
    <x v="1"/>
    <n v="500"/>
    <n v="250"/>
    <n v="960"/>
    <n v="289"/>
    <n v="15"/>
    <d v="2024-06-09T00:00:00"/>
    <n v="671"/>
    <n v="406"/>
  </r>
  <r>
    <x v="56"/>
    <d v="2024-04-17T00:00:00"/>
    <x v="4"/>
    <x v="2"/>
    <x v="170"/>
    <x v="1"/>
    <n v="20"/>
    <n v="4"/>
    <n v="474"/>
    <n v="84"/>
    <n v="0.6"/>
    <d v="2024-08-13T00:00:00"/>
    <n v="390"/>
    <n v="385.4"/>
  </r>
  <r>
    <x v="92"/>
    <d v="2024-02-08T00:00:00"/>
    <x v="1"/>
    <x v="0"/>
    <x v="171"/>
    <x v="1"/>
    <n v="500"/>
    <n v="250"/>
    <n v="17"/>
    <n v="1"/>
    <n v="15"/>
    <d v="2024-03-17T00:00:00"/>
    <n v="16"/>
    <n v="-249"/>
  </r>
  <r>
    <x v="4"/>
    <d v="2024-01-17T00:00:00"/>
    <x v="2"/>
    <x v="2"/>
    <x v="172"/>
    <x v="0"/>
    <n v="200"/>
    <n v="0"/>
    <n v="306"/>
    <n v="92"/>
    <n v="6"/>
    <d v="2024-01-24T00:00:00"/>
    <n v="214"/>
    <n v="208"/>
  </r>
  <r>
    <x v="30"/>
    <d v="2024-05-24T00:00:00"/>
    <x v="1"/>
    <x v="2"/>
    <x v="106"/>
    <x v="2"/>
    <n v="500"/>
    <n v="250"/>
    <n v="292"/>
    <n v="274"/>
    <n v="15"/>
    <d v="2024-10-18T00:00:00"/>
    <n v="18"/>
    <n v="-247"/>
  </r>
  <r>
    <x v="98"/>
    <d v="2024-04-23T00:00:00"/>
    <x v="1"/>
    <x v="0"/>
    <x v="170"/>
    <x v="2"/>
    <n v="50"/>
    <n v="10"/>
    <n v="472"/>
    <n v="261"/>
    <n v="1.5"/>
    <d v="2024-08-16T00:00:00"/>
    <n v="211"/>
    <n v="199.5"/>
  </r>
  <r>
    <x v="89"/>
    <d v="2024-02-08T00:00:00"/>
    <x v="2"/>
    <x v="2"/>
    <x v="137"/>
    <x v="0"/>
    <n v="20"/>
    <n v="10"/>
    <n v="632"/>
    <n v="354"/>
    <n v="0.6"/>
    <d v="2024-04-07T00:00:00"/>
    <n v="278"/>
    <n v="267.39999999999998"/>
  </r>
  <r>
    <x v="71"/>
    <d v="2024-01-21T00:00:00"/>
    <x v="2"/>
    <x v="0"/>
    <x v="21"/>
    <x v="1"/>
    <n v="500"/>
    <n v="100"/>
    <n v="397"/>
    <n v="311"/>
    <n v="15"/>
    <d v="2024-07-02T00:00:00"/>
    <n v="86"/>
    <n v="-29"/>
  </r>
  <r>
    <x v="83"/>
    <d v="2024-05-01T00:00:00"/>
    <x v="0"/>
    <x v="1"/>
    <x v="102"/>
    <x v="0"/>
    <n v="50"/>
    <n v="10"/>
    <n v="199"/>
    <n v="178"/>
    <n v="1.5"/>
    <d v="2024-06-20T00:00:00"/>
    <n v="21"/>
    <n v="9.5"/>
  </r>
  <r>
    <x v="92"/>
    <d v="2024-04-22T00:00:00"/>
    <x v="3"/>
    <x v="1"/>
    <x v="45"/>
    <x v="2"/>
    <n v="20"/>
    <n v="10"/>
    <n v="293"/>
    <n v="48"/>
    <n v="0.6"/>
    <d v="2024-08-16T00:00:00"/>
    <n v="245"/>
    <n v="234.4"/>
  </r>
  <r>
    <x v="61"/>
    <d v="2024-06-19T00:00:00"/>
    <x v="4"/>
    <x v="2"/>
    <x v="173"/>
    <x v="3"/>
    <n v="20"/>
    <n v="4"/>
    <n v="652"/>
    <n v="553"/>
    <n v="0.6"/>
    <d v="2024-08-30T00:00:00"/>
    <n v="99"/>
    <n v="94.4"/>
  </r>
  <r>
    <x v="95"/>
    <d v="2024-06-08T00:00:00"/>
    <x v="0"/>
    <x v="0"/>
    <x v="67"/>
    <x v="1"/>
    <n v="500"/>
    <n v="100"/>
    <n v="401"/>
    <n v="347"/>
    <n v="15"/>
    <d v="2024-07-03T00:00:00"/>
    <n v="54"/>
    <n v="-61"/>
  </r>
  <r>
    <x v="16"/>
    <d v="2024-01-01T00:00:00"/>
    <x v="2"/>
    <x v="1"/>
    <x v="136"/>
    <x v="1"/>
    <n v="0"/>
    <n v="0"/>
    <n v="116"/>
    <n v="56"/>
    <n v="0"/>
    <d v="2024-05-30T00:00:00"/>
    <n v="60"/>
    <n v="60"/>
  </r>
  <r>
    <x v="13"/>
    <d v="2024-03-20T00:00:00"/>
    <x v="4"/>
    <x v="2"/>
    <x v="163"/>
    <x v="2"/>
    <n v="200"/>
    <n v="40"/>
    <n v="77"/>
    <n v="52"/>
    <n v="6"/>
    <d v="2024-04-14T00:00:00"/>
    <n v="25"/>
    <n v="-21"/>
  </r>
  <r>
    <x v="67"/>
    <d v="2024-04-25T00:00:00"/>
    <x v="1"/>
    <x v="1"/>
    <x v="8"/>
    <x v="1"/>
    <n v="100"/>
    <n v="50"/>
    <n v="797"/>
    <n v="410"/>
    <n v="3"/>
    <d v="2024-06-10T00:00:00"/>
    <n v="387"/>
    <n v="334"/>
  </r>
  <r>
    <x v="12"/>
    <d v="2024-06-19T00:00:00"/>
    <x v="3"/>
    <x v="2"/>
    <x v="174"/>
    <x v="0"/>
    <n v="20"/>
    <n v="0"/>
    <n v="191"/>
    <n v="169"/>
    <n v="0.6"/>
    <d v="2024-09-06T00:00:00"/>
    <n v="22"/>
    <n v="21.4"/>
  </r>
  <r>
    <x v="14"/>
    <d v="2024-02-16T00:00:00"/>
    <x v="4"/>
    <x v="0"/>
    <x v="175"/>
    <x v="1"/>
    <n v="500"/>
    <n v="100"/>
    <n v="37"/>
    <n v="3"/>
    <n v="15"/>
    <d v="2024-03-25T00:00:00"/>
    <n v="34"/>
    <n v="-81"/>
  </r>
  <r>
    <x v="59"/>
    <d v="2024-05-31T00:00:00"/>
    <x v="0"/>
    <x v="1"/>
    <x v="65"/>
    <x v="0"/>
    <n v="200"/>
    <n v="40"/>
    <n v="985"/>
    <n v="900"/>
    <n v="6"/>
    <d v="2024-09-23T00:00:00"/>
    <n v="85"/>
    <n v="39"/>
  </r>
  <r>
    <x v="14"/>
    <d v="2024-03-18T00:00:00"/>
    <x v="3"/>
    <x v="1"/>
    <x v="176"/>
    <x v="2"/>
    <n v="0"/>
    <n v="0"/>
    <n v="347"/>
    <n v="185"/>
    <n v="0"/>
    <d v="2024-06-17T00:00:00"/>
    <n v="162"/>
    <n v="162"/>
  </r>
  <r>
    <x v="5"/>
    <d v="2024-06-27T00:00:00"/>
    <x v="2"/>
    <x v="1"/>
    <x v="177"/>
    <x v="2"/>
    <n v="0"/>
    <n v="0"/>
    <n v="721"/>
    <n v="354"/>
    <n v="0"/>
    <d v="2024-10-27T00:00:00"/>
    <n v="367"/>
    <n v="367"/>
  </r>
  <r>
    <x v="92"/>
    <d v="2024-06-13T00:00:00"/>
    <x v="4"/>
    <x v="1"/>
    <x v="45"/>
    <x v="3"/>
    <n v="0"/>
    <n v="0"/>
    <n v="405"/>
    <n v="317"/>
    <n v="0"/>
    <d v="2024-08-07T00:00:00"/>
    <n v="88"/>
    <n v="88"/>
  </r>
  <r>
    <x v="4"/>
    <d v="2024-05-26T00:00:00"/>
    <x v="4"/>
    <x v="0"/>
    <x v="178"/>
    <x v="3"/>
    <n v="200"/>
    <n v="40"/>
    <n v="299"/>
    <n v="53"/>
    <n v="6"/>
    <d v="2024-08-19T00:00:00"/>
    <n v="246"/>
    <n v="200"/>
  </r>
  <r>
    <x v="90"/>
    <d v="2024-01-20T00:00:00"/>
    <x v="0"/>
    <x v="1"/>
    <x v="149"/>
    <x v="1"/>
    <n v="200"/>
    <n v="0"/>
    <n v="296"/>
    <n v="219"/>
    <n v="6"/>
    <d v="2024-07-27T00:00:00"/>
    <n v="77"/>
    <n v="71"/>
  </r>
  <r>
    <x v="68"/>
    <d v="2024-01-14T00:00:00"/>
    <x v="1"/>
    <x v="2"/>
    <x v="1"/>
    <x v="3"/>
    <n v="200"/>
    <n v="40"/>
    <n v="978"/>
    <n v="547"/>
    <n v="6"/>
    <d v="2024-07-26T00:00:00"/>
    <n v="431"/>
    <n v="385"/>
  </r>
  <r>
    <x v="87"/>
    <d v="2024-06-12T00:00:00"/>
    <x v="4"/>
    <x v="0"/>
    <x v="109"/>
    <x v="3"/>
    <n v="50"/>
    <n v="0"/>
    <n v="387"/>
    <n v="68"/>
    <n v="1.5"/>
    <d v="2024-08-06T00:00:00"/>
    <n v="319"/>
    <n v="317.5"/>
  </r>
  <r>
    <x v="58"/>
    <d v="2024-05-20T00:00:00"/>
    <x v="4"/>
    <x v="1"/>
    <x v="179"/>
    <x v="3"/>
    <n v="100"/>
    <n v="0"/>
    <n v="929"/>
    <n v="459"/>
    <n v="3"/>
    <d v="2024-07-19T00:00:00"/>
    <n v="470"/>
    <n v="467"/>
  </r>
  <r>
    <x v="0"/>
    <d v="2024-03-20T00:00:00"/>
    <x v="2"/>
    <x v="0"/>
    <x v="147"/>
    <x v="1"/>
    <n v="100"/>
    <n v="20"/>
    <n v="813"/>
    <n v="59"/>
    <n v="3"/>
    <d v="2024-04-22T00:00:00"/>
    <n v="754"/>
    <n v="731"/>
  </r>
  <r>
    <x v="49"/>
    <d v="2024-03-19T00:00:00"/>
    <x v="3"/>
    <x v="2"/>
    <x v="180"/>
    <x v="2"/>
    <n v="50"/>
    <n v="25"/>
    <n v="619"/>
    <n v="289"/>
    <n v="1.5"/>
    <d v="2024-06-08T00:00:00"/>
    <n v="330"/>
    <n v="303.5"/>
  </r>
  <r>
    <x v="27"/>
    <d v="2024-03-04T00:00:00"/>
    <x v="3"/>
    <x v="2"/>
    <x v="173"/>
    <x v="1"/>
    <n v="200"/>
    <n v="40"/>
    <n v="128"/>
    <n v="23"/>
    <n v="6"/>
    <d v="2024-08-24T00:00:00"/>
    <n v="105"/>
    <n v="59"/>
  </r>
  <r>
    <x v="88"/>
    <d v="2024-04-11T00:00:00"/>
    <x v="1"/>
    <x v="0"/>
    <x v="51"/>
    <x v="0"/>
    <n v="0"/>
    <n v="0"/>
    <n v="329"/>
    <n v="84"/>
    <n v="0"/>
    <d v="2024-05-26T00:00:00"/>
    <n v="245"/>
    <n v="245"/>
  </r>
  <r>
    <x v="3"/>
    <d v="2024-04-24T00:00:00"/>
    <x v="2"/>
    <x v="0"/>
    <x v="81"/>
    <x v="1"/>
    <n v="0"/>
    <n v="0"/>
    <n v="376"/>
    <n v="195"/>
    <n v="0"/>
    <d v="2024-08-15T00:00:00"/>
    <n v="181"/>
    <n v="181"/>
  </r>
  <r>
    <x v="30"/>
    <d v="2024-01-26T00:00:00"/>
    <x v="0"/>
    <x v="0"/>
    <x v="181"/>
    <x v="1"/>
    <n v="200"/>
    <n v="40"/>
    <n v="401"/>
    <n v="111"/>
    <n v="6"/>
    <d v="2024-07-07T00:00:00"/>
    <n v="290"/>
    <n v="244"/>
  </r>
  <r>
    <x v="68"/>
    <d v="2024-04-21T00:00:00"/>
    <x v="1"/>
    <x v="0"/>
    <x v="56"/>
    <x v="3"/>
    <n v="50"/>
    <n v="25"/>
    <n v="771"/>
    <n v="242"/>
    <n v="1.5"/>
    <d v="2024-05-31T00:00:00"/>
    <n v="529"/>
    <n v="502.5"/>
  </r>
  <r>
    <x v="7"/>
    <d v="2024-03-08T00:00:00"/>
    <x v="2"/>
    <x v="2"/>
    <x v="9"/>
    <x v="0"/>
    <n v="20"/>
    <n v="4"/>
    <n v="656"/>
    <n v="452"/>
    <n v="0.6"/>
    <d v="2024-06-24T00:00:00"/>
    <n v="204"/>
    <n v="199.4"/>
  </r>
  <r>
    <x v="7"/>
    <d v="2024-05-22T00:00:00"/>
    <x v="4"/>
    <x v="0"/>
    <x v="182"/>
    <x v="2"/>
    <n v="0"/>
    <n v="0"/>
    <n v="79"/>
    <n v="12"/>
    <n v="0"/>
    <d v="2024-11-02T00:00:00"/>
    <n v="67"/>
    <n v="67"/>
  </r>
  <r>
    <x v="23"/>
    <d v="2024-03-08T00:00:00"/>
    <x v="4"/>
    <x v="0"/>
    <x v="180"/>
    <x v="2"/>
    <n v="0"/>
    <n v="0"/>
    <n v="397"/>
    <n v="221"/>
    <n v="0"/>
    <d v="2024-06-06T00:00:00"/>
    <n v="176"/>
    <n v="176"/>
  </r>
  <r>
    <x v="84"/>
    <d v="2024-02-27T00:00:00"/>
    <x v="0"/>
    <x v="1"/>
    <x v="183"/>
    <x v="2"/>
    <n v="0"/>
    <n v="0"/>
    <n v="545"/>
    <n v="110"/>
    <n v="0"/>
    <d v="2024-05-26T00:00:00"/>
    <n v="435"/>
    <n v="435"/>
  </r>
  <r>
    <x v="25"/>
    <d v="2024-04-21T00:00:00"/>
    <x v="0"/>
    <x v="1"/>
    <x v="184"/>
    <x v="0"/>
    <n v="100"/>
    <n v="0"/>
    <n v="215"/>
    <n v="13"/>
    <n v="3"/>
    <d v="2024-10-28T00:00:00"/>
    <n v="202"/>
    <n v="199"/>
  </r>
  <r>
    <x v="75"/>
    <d v="2024-05-16T00:00:00"/>
    <x v="1"/>
    <x v="2"/>
    <x v="149"/>
    <x v="3"/>
    <n v="50"/>
    <n v="0"/>
    <n v="644"/>
    <n v="621"/>
    <n v="1.5"/>
    <d v="2024-07-22T00:00:00"/>
    <n v="23"/>
    <n v="21.5"/>
  </r>
  <r>
    <x v="54"/>
    <d v="2024-02-10T00:00:00"/>
    <x v="0"/>
    <x v="2"/>
    <x v="113"/>
    <x v="3"/>
    <n v="50"/>
    <n v="25"/>
    <n v="942"/>
    <n v="191"/>
    <n v="1.5"/>
    <d v="2024-02-27T00:00:00"/>
    <n v="751"/>
    <n v="724.5"/>
  </r>
  <r>
    <x v="79"/>
    <d v="2024-06-11T00:00:00"/>
    <x v="1"/>
    <x v="0"/>
    <x v="185"/>
    <x v="1"/>
    <n v="200"/>
    <n v="100"/>
    <n v="585"/>
    <n v="130"/>
    <n v="6"/>
    <d v="2024-10-02T00:00:00"/>
    <n v="455"/>
    <n v="349"/>
  </r>
  <r>
    <x v="27"/>
    <d v="2024-02-13T00:00:00"/>
    <x v="0"/>
    <x v="2"/>
    <x v="11"/>
    <x v="3"/>
    <n v="20"/>
    <n v="0"/>
    <n v="352"/>
    <n v="99"/>
    <n v="0.6"/>
    <d v="2024-07-23T00:00:00"/>
    <n v="253"/>
    <n v="252.4"/>
  </r>
  <r>
    <x v="98"/>
    <d v="2024-02-27T00:00:00"/>
    <x v="3"/>
    <x v="0"/>
    <x v="160"/>
    <x v="0"/>
    <n v="0"/>
    <n v="0"/>
    <n v="619"/>
    <n v="540"/>
    <n v="0"/>
    <d v="2024-06-11T00:00:00"/>
    <n v="79"/>
    <n v="79"/>
  </r>
  <r>
    <x v="49"/>
    <d v="2024-05-06T00:00:00"/>
    <x v="3"/>
    <x v="1"/>
    <x v="49"/>
    <x v="2"/>
    <n v="0"/>
    <n v="0"/>
    <n v="983"/>
    <n v="613"/>
    <n v="0"/>
    <d v="2024-11-16T00:00:00"/>
    <n v="370"/>
    <n v="370"/>
  </r>
  <r>
    <x v="64"/>
    <d v="2024-05-15T00:00:00"/>
    <x v="4"/>
    <x v="1"/>
    <x v="30"/>
    <x v="0"/>
    <n v="200"/>
    <n v="40"/>
    <n v="511"/>
    <n v="467"/>
    <n v="6"/>
    <d v="2024-07-28T00:00:00"/>
    <n v="44"/>
    <n v="-2"/>
  </r>
  <r>
    <x v="63"/>
    <d v="2024-02-18T00:00:00"/>
    <x v="3"/>
    <x v="2"/>
    <x v="87"/>
    <x v="0"/>
    <n v="0"/>
    <n v="0"/>
    <n v="454"/>
    <n v="203"/>
    <n v="0"/>
    <d v="2024-09-11T00:00:00"/>
    <n v="251"/>
    <n v="251"/>
  </r>
  <r>
    <x v="15"/>
    <d v="2024-04-15T00:00:00"/>
    <x v="3"/>
    <x v="2"/>
    <x v="112"/>
    <x v="1"/>
    <n v="200"/>
    <n v="40"/>
    <n v="812"/>
    <n v="252"/>
    <n v="6"/>
    <d v="2024-07-04T00:00:00"/>
    <n v="560"/>
    <n v="514"/>
  </r>
  <r>
    <x v="19"/>
    <d v="2024-05-03T00:00:00"/>
    <x v="0"/>
    <x v="1"/>
    <x v="186"/>
    <x v="0"/>
    <n v="200"/>
    <n v="100"/>
    <n v="855"/>
    <n v="28"/>
    <n v="6"/>
    <d v="2024-06-30T00:00:00"/>
    <n v="827"/>
    <n v="721"/>
  </r>
  <r>
    <x v="99"/>
    <d v="2024-03-31T00:00:00"/>
    <x v="3"/>
    <x v="1"/>
    <x v="121"/>
    <x v="3"/>
    <n v="20"/>
    <n v="4"/>
    <n v="949"/>
    <n v="194"/>
    <n v="0.6"/>
    <d v="2024-09-02T00:00:00"/>
    <n v="755"/>
    <n v="750.4"/>
  </r>
  <r>
    <x v="90"/>
    <d v="2024-01-10T00:00:00"/>
    <x v="1"/>
    <x v="2"/>
    <x v="31"/>
    <x v="0"/>
    <n v="200"/>
    <n v="40"/>
    <n v="645"/>
    <n v="138"/>
    <n v="6"/>
    <d v="2024-03-19T00:00:00"/>
    <n v="507"/>
    <n v="461"/>
  </r>
  <r>
    <x v="68"/>
    <d v="2024-05-13T00:00:00"/>
    <x v="4"/>
    <x v="2"/>
    <x v="187"/>
    <x v="1"/>
    <n v="500"/>
    <n v="100"/>
    <n v="122"/>
    <n v="44"/>
    <n v="15"/>
    <d v="2024-11-07T00:00:00"/>
    <n v="78"/>
    <n v="-37"/>
  </r>
  <r>
    <x v="41"/>
    <d v="2024-01-02T00:00:00"/>
    <x v="0"/>
    <x v="0"/>
    <x v="188"/>
    <x v="2"/>
    <n v="100"/>
    <n v="0"/>
    <n v="959"/>
    <n v="644"/>
    <n v="3"/>
    <d v="2024-04-27T00:00:00"/>
    <n v="315"/>
    <n v="312"/>
  </r>
  <r>
    <x v="91"/>
    <d v="2024-01-08T00:00:00"/>
    <x v="2"/>
    <x v="2"/>
    <x v="189"/>
    <x v="3"/>
    <n v="500"/>
    <n v="0"/>
    <n v="169"/>
    <n v="37"/>
    <n v="15"/>
    <d v="2024-06-24T00:00:00"/>
    <n v="132"/>
    <n v="117"/>
  </r>
  <r>
    <x v="65"/>
    <d v="2024-06-12T00:00:00"/>
    <x v="3"/>
    <x v="0"/>
    <x v="190"/>
    <x v="1"/>
    <n v="20"/>
    <n v="10"/>
    <n v="978"/>
    <n v="476"/>
    <n v="0.6"/>
    <d v="2024-12-03T00:00:00"/>
    <n v="502"/>
    <n v="491.4"/>
  </r>
  <r>
    <x v="19"/>
    <d v="2024-03-18T00:00:00"/>
    <x v="0"/>
    <x v="0"/>
    <x v="44"/>
    <x v="0"/>
    <n v="500"/>
    <n v="100"/>
    <n v="850"/>
    <n v="154"/>
    <n v="15"/>
    <d v="2024-10-04T00:00:00"/>
    <n v="696"/>
    <n v="581"/>
  </r>
  <r>
    <x v="86"/>
    <d v="2024-02-08T00:00:00"/>
    <x v="1"/>
    <x v="1"/>
    <x v="26"/>
    <x v="3"/>
    <n v="50"/>
    <n v="25"/>
    <n v="571"/>
    <n v="154"/>
    <n v="1.5"/>
    <d v="2024-05-31T00:00:00"/>
    <n v="417"/>
    <n v="390.5"/>
  </r>
  <r>
    <x v="35"/>
    <d v="2024-06-23T00:00:00"/>
    <x v="0"/>
    <x v="2"/>
    <x v="191"/>
    <x v="2"/>
    <n v="500"/>
    <n v="100"/>
    <n v="350"/>
    <n v="255"/>
    <n v="15"/>
    <d v="2024-11-25T00:00:00"/>
    <n v="95"/>
    <n v="-20"/>
  </r>
  <r>
    <x v="38"/>
    <d v="2024-03-01T00:00:00"/>
    <x v="4"/>
    <x v="1"/>
    <x v="39"/>
    <x v="2"/>
    <n v="0"/>
    <n v="0"/>
    <n v="370"/>
    <n v="30"/>
    <n v="0"/>
    <d v="2024-04-30T00:00:00"/>
    <n v="340"/>
    <n v="340"/>
  </r>
  <r>
    <x v="68"/>
    <d v="2024-01-17T00:00:00"/>
    <x v="3"/>
    <x v="0"/>
    <x v="133"/>
    <x v="1"/>
    <n v="50"/>
    <n v="10"/>
    <n v="848"/>
    <n v="497"/>
    <n v="1.5"/>
    <d v="2024-07-18T00:00:00"/>
    <n v="351"/>
    <n v="339.5"/>
  </r>
  <r>
    <x v="35"/>
    <d v="2024-04-26T00:00:00"/>
    <x v="2"/>
    <x v="0"/>
    <x v="192"/>
    <x v="2"/>
    <n v="500"/>
    <n v="250"/>
    <n v="993"/>
    <n v="987"/>
    <n v="15"/>
    <d v="2024-10-13T00:00:00"/>
    <n v="6"/>
    <n v="-259"/>
  </r>
  <r>
    <x v="78"/>
    <d v="2024-03-19T00:00:00"/>
    <x v="0"/>
    <x v="0"/>
    <x v="193"/>
    <x v="0"/>
    <n v="50"/>
    <n v="0"/>
    <n v="147"/>
    <n v="21"/>
    <n v="1.5"/>
    <d v="2024-04-24T00:00:00"/>
    <n v="126"/>
    <n v="124.5"/>
  </r>
  <r>
    <x v="45"/>
    <d v="2024-04-27T00:00:00"/>
    <x v="4"/>
    <x v="0"/>
    <x v="66"/>
    <x v="3"/>
    <n v="50"/>
    <n v="10"/>
    <n v="873"/>
    <n v="524"/>
    <n v="1.5"/>
    <d v="2024-05-10T00:00:00"/>
    <n v="349"/>
    <n v="337.5"/>
  </r>
  <r>
    <x v="44"/>
    <d v="2024-06-07T00:00:00"/>
    <x v="4"/>
    <x v="0"/>
    <x v="194"/>
    <x v="2"/>
    <n v="100"/>
    <n v="50"/>
    <n v="115"/>
    <n v="107"/>
    <n v="3"/>
    <d v="2024-09-10T00:00:00"/>
    <n v="8"/>
    <n v="-45"/>
  </r>
  <r>
    <x v="7"/>
    <d v="2024-06-26T00:00:00"/>
    <x v="0"/>
    <x v="0"/>
    <x v="150"/>
    <x v="0"/>
    <n v="0"/>
    <n v="0"/>
    <n v="708"/>
    <n v="316"/>
    <n v="0"/>
    <d v="2024-07-25T00:00:00"/>
    <n v="392"/>
    <n v="392"/>
  </r>
  <r>
    <x v="17"/>
    <d v="2024-03-31T00:00:00"/>
    <x v="2"/>
    <x v="0"/>
    <x v="142"/>
    <x v="2"/>
    <n v="50"/>
    <n v="25"/>
    <n v="466"/>
    <n v="441"/>
    <n v="1.5"/>
    <d v="2024-05-01T00:00:00"/>
    <n v="25"/>
    <n v="-1.5"/>
  </r>
  <r>
    <x v="13"/>
    <d v="2024-03-15T00:00:00"/>
    <x v="4"/>
    <x v="1"/>
    <x v="44"/>
    <x v="0"/>
    <n v="0"/>
    <n v="0"/>
    <n v="942"/>
    <n v="15"/>
    <n v="0"/>
    <d v="2024-09-28T00:00:00"/>
    <n v="927"/>
    <n v="927"/>
  </r>
  <r>
    <x v="1"/>
    <d v="2024-04-22T00:00:00"/>
    <x v="3"/>
    <x v="1"/>
    <x v="195"/>
    <x v="3"/>
    <n v="500"/>
    <n v="100"/>
    <n v="249"/>
    <n v="176"/>
    <n v="15"/>
    <d v="2024-10-19T00:00:00"/>
    <n v="73"/>
    <n v="-42"/>
  </r>
  <r>
    <x v="54"/>
    <d v="2024-04-16T00:00:00"/>
    <x v="4"/>
    <x v="0"/>
    <x v="125"/>
    <x v="0"/>
    <n v="20"/>
    <n v="10"/>
    <n v="376"/>
    <n v="27"/>
    <n v="0.6"/>
    <d v="2024-06-18T00:00:00"/>
    <n v="349"/>
    <n v="338.4"/>
  </r>
  <r>
    <x v="57"/>
    <d v="2024-05-14T00:00:00"/>
    <x v="2"/>
    <x v="1"/>
    <x v="196"/>
    <x v="2"/>
    <n v="100"/>
    <n v="0"/>
    <n v="222"/>
    <n v="80"/>
    <n v="3"/>
    <d v="2024-08-16T00:00:00"/>
    <n v="142"/>
    <n v="139"/>
  </r>
  <r>
    <x v="45"/>
    <d v="2024-05-30T00:00:00"/>
    <x v="1"/>
    <x v="0"/>
    <x v="176"/>
    <x v="2"/>
    <n v="200"/>
    <n v="0"/>
    <n v="571"/>
    <n v="535"/>
    <n v="6"/>
    <d v="2024-06-24T00:00:00"/>
    <n v="36"/>
    <n v="30"/>
  </r>
  <r>
    <x v="48"/>
    <d v="2024-03-19T00:00:00"/>
    <x v="4"/>
    <x v="1"/>
    <x v="140"/>
    <x v="1"/>
    <n v="100"/>
    <n v="20"/>
    <n v="369"/>
    <n v="117"/>
    <n v="3"/>
    <d v="2024-04-19T00:00:00"/>
    <n v="252"/>
    <n v="229"/>
  </r>
  <r>
    <x v="34"/>
    <d v="2024-04-09T00:00:00"/>
    <x v="3"/>
    <x v="1"/>
    <x v="29"/>
    <x v="1"/>
    <n v="200"/>
    <n v="40"/>
    <n v="506"/>
    <n v="290"/>
    <n v="6"/>
    <d v="2024-07-27T00:00:00"/>
    <n v="216"/>
    <n v="170"/>
  </r>
  <r>
    <x v="51"/>
    <d v="2024-01-08T00:00:00"/>
    <x v="0"/>
    <x v="1"/>
    <x v="69"/>
    <x v="0"/>
    <n v="100"/>
    <n v="20"/>
    <n v="415"/>
    <n v="163"/>
    <n v="3"/>
    <d v="2024-02-16T00:00:00"/>
    <n v="252"/>
    <n v="229"/>
  </r>
  <r>
    <x v="6"/>
    <d v="2024-02-11T00:00:00"/>
    <x v="1"/>
    <x v="2"/>
    <x v="26"/>
    <x v="0"/>
    <n v="20"/>
    <n v="4"/>
    <n v="709"/>
    <n v="577"/>
    <n v="0.6"/>
    <d v="2024-06-27T00:00:00"/>
    <n v="132"/>
    <n v="127.4"/>
  </r>
  <r>
    <x v="37"/>
    <d v="2024-05-13T00:00:00"/>
    <x v="1"/>
    <x v="2"/>
    <x v="181"/>
    <x v="1"/>
    <n v="500"/>
    <n v="100"/>
    <n v="409"/>
    <n v="58"/>
    <n v="15"/>
    <d v="2024-07-01T00:00:00"/>
    <n v="351"/>
    <n v="236"/>
  </r>
  <r>
    <x v="84"/>
    <d v="2024-03-20T00:00:00"/>
    <x v="3"/>
    <x v="0"/>
    <x v="163"/>
    <x v="2"/>
    <n v="100"/>
    <n v="0"/>
    <n v="305"/>
    <n v="281"/>
    <n v="3"/>
    <d v="2024-04-15T00:00:00"/>
    <n v="24"/>
    <n v="21"/>
  </r>
  <r>
    <x v="33"/>
    <d v="2024-03-18T00:00:00"/>
    <x v="4"/>
    <x v="1"/>
    <x v="44"/>
    <x v="2"/>
    <n v="20"/>
    <n v="0"/>
    <n v="340"/>
    <n v="35"/>
    <n v="0.6"/>
    <d v="2024-10-02T00:00:00"/>
    <n v="305"/>
    <n v="304.39999999999998"/>
  </r>
  <r>
    <x v="75"/>
    <d v="2024-03-26T00:00:00"/>
    <x v="0"/>
    <x v="0"/>
    <x v="65"/>
    <x v="2"/>
    <n v="500"/>
    <n v="100"/>
    <n v="531"/>
    <n v="70"/>
    <n v="15"/>
    <d v="2024-09-30T00:00:00"/>
    <n v="461"/>
    <n v="346"/>
  </r>
  <r>
    <x v="29"/>
    <d v="2024-03-23T00:00:00"/>
    <x v="4"/>
    <x v="1"/>
    <x v="160"/>
    <x v="3"/>
    <n v="200"/>
    <n v="100"/>
    <n v="249"/>
    <n v="161"/>
    <n v="6"/>
    <d v="2024-06-04T00:00:00"/>
    <n v="88"/>
    <n v="-18"/>
  </r>
  <r>
    <x v="90"/>
    <d v="2024-05-30T00:00:00"/>
    <x v="2"/>
    <x v="1"/>
    <x v="121"/>
    <x v="2"/>
    <n v="100"/>
    <n v="50"/>
    <n v="740"/>
    <n v="732"/>
    <n v="3"/>
    <d v="2024-09-19T00:00:00"/>
    <n v="8"/>
    <n v="-45"/>
  </r>
  <r>
    <x v="7"/>
    <d v="2024-06-26T00:00:00"/>
    <x v="2"/>
    <x v="0"/>
    <x v="158"/>
    <x v="3"/>
    <n v="200"/>
    <n v="0"/>
    <n v="417"/>
    <n v="76"/>
    <n v="6"/>
    <d v="2024-08-17T00:00:00"/>
    <n v="341"/>
    <n v="335"/>
  </r>
  <r>
    <x v="34"/>
    <d v="2024-04-16T00:00:00"/>
    <x v="4"/>
    <x v="2"/>
    <x v="36"/>
    <x v="3"/>
    <n v="100"/>
    <n v="0"/>
    <n v="723"/>
    <n v="202"/>
    <n v="3"/>
    <d v="2024-05-16T00:00:00"/>
    <n v="521"/>
    <n v="518"/>
  </r>
  <r>
    <x v="73"/>
    <d v="2024-03-01T00:00:00"/>
    <x v="4"/>
    <x v="2"/>
    <x v="149"/>
    <x v="0"/>
    <n v="100"/>
    <n v="0"/>
    <n v="683"/>
    <n v="225"/>
    <n v="3"/>
    <d v="2024-08-16T00:00:00"/>
    <n v="458"/>
    <n v="455"/>
  </r>
  <r>
    <x v="56"/>
    <d v="2024-04-02T00:00:00"/>
    <x v="0"/>
    <x v="2"/>
    <x v="0"/>
    <x v="3"/>
    <n v="50"/>
    <n v="0"/>
    <n v="49"/>
    <n v="30"/>
    <n v="1.5"/>
    <d v="2024-08-21T00:00:00"/>
    <n v="19"/>
    <n v="17.5"/>
  </r>
  <r>
    <x v="13"/>
    <d v="2024-06-09T00:00:00"/>
    <x v="2"/>
    <x v="1"/>
    <x v="99"/>
    <x v="2"/>
    <n v="100"/>
    <n v="50"/>
    <n v="249"/>
    <n v="225"/>
    <n v="3"/>
    <d v="2024-10-17T00:00:00"/>
    <n v="24"/>
    <n v="-29"/>
  </r>
  <r>
    <x v="11"/>
    <d v="2024-06-18T00:00:00"/>
    <x v="3"/>
    <x v="2"/>
    <x v="105"/>
    <x v="0"/>
    <n v="500"/>
    <n v="250"/>
    <n v="184"/>
    <n v="16"/>
    <n v="15"/>
    <d v="2024-08-26T00:00:00"/>
    <n v="168"/>
    <n v="-97"/>
  </r>
  <r>
    <x v="68"/>
    <d v="2024-06-11T00:00:00"/>
    <x v="2"/>
    <x v="1"/>
    <x v="197"/>
    <x v="0"/>
    <n v="500"/>
    <n v="0"/>
    <n v="784"/>
    <n v="603"/>
    <n v="15"/>
    <d v="2024-12-21T00:00:00"/>
    <n v="181"/>
    <n v="166"/>
  </r>
  <r>
    <x v="55"/>
    <d v="2024-01-17T00:00:00"/>
    <x v="3"/>
    <x v="1"/>
    <x v="176"/>
    <x v="3"/>
    <n v="0"/>
    <n v="0"/>
    <n v="912"/>
    <n v="275"/>
    <n v="0"/>
    <d v="2024-07-03T00:00:00"/>
    <n v="637"/>
    <n v="637"/>
  </r>
  <r>
    <x v="43"/>
    <d v="2024-02-05T00:00:00"/>
    <x v="0"/>
    <x v="2"/>
    <x v="155"/>
    <x v="1"/>
    <n v="100"/>
    <n v="0"/>
    <n v="739"/>
    <n v="153"/>
    <n v="3"/>
    <d v="2024-08-05T00:00:00"/>
    <n v="586"/>
    <n v="583"/>
  </r>
  <r>
    <x v="61"/>
    <d v="2024-03-16T00:00:00"/>
    <x v="2"/>
    <x v="0"/>
    <x v="55"/>
    <x v="0"/>
    <n v="100"/>
    <n v="0"/>
    <n v="405"/>
    <n v="242"/>
    <n v="3"/>
    <d v="2024-04-19T00:00:00"/>
    <n v="163"/>
    <n v="160"/>
  </r>
  <r>
    <x v="97"/>
    <d v="2024-03-01T00:00:00"/>
    <x v="4"/>
    <x v="0"/>
    <x v="160"/>
    <x v="1"/>
    <n v="100"/>
    <n v="20"/>
    <n v="982"/>
    <n v="944"/>
    <n v="3"/>
    <d v="2024-06-08T00:00:00"/>
    <n v="38"/>
    <n v="15"/>
  </r>
  <r>
    <x v="83"/>
    <d v="2024-04-13T00:00:00"/>
    <x v="1"/>
    <x v="0"/>
    <x v="0"/>
    <x v="2"/>
    <n v="200"/>
    <n v="100"/>
    <n v="866"/>
    <n v="620"/>
    <n v="6"/>
    <d v="2024-08-26T00:00:00"/>
    <n v="246"/>
    <n v="140"/>
  </r>
  <r>
    <x v="53"/>
    <d v="2024-03-22T00:00:00"/>
    <x v="2"/>
    <x v="0"/>
    <x v="25"/>
    <x v="1"/>
    <n v="0"/>
    <n v="0"/>
    <n v="651"/>
    <n v="252"/>
    <n v="0"/>
    <d v="2024-04-24T00:00:00"/>
    <n v="399"/>
    <n v="399"/>
  </r>
  <r>
    <x v="56"/>
    <d v="2024-05-11T00:00:00"/>
    <x v="3"/>
    <x v="2"/>
    <x v="198"/>
    <x v="1"/>
    <n v="500"/>
    <n v="250"/>
    <n v="893"/>
    <n v="617"/>
    <n v="15"/>
    <d v="2024-10-23T00:00:00"/>
    <n v="276"/>
    <n v="11"/>
  </r>
  <r>
    <x v="39"/>
    <d v="2024-01-18T00:00:00"/>
    <x v="2"/>
    <x v="2"/>
    <x v="199"/>
    <x v="2"/>
    <n v="20"/>
    <n v="4"/>
    <n v="201"/>
    <n v="193"/>
    <n v="0.6"/>
    <d v="2024-03-25T00:00:00"/>
    <n v="8"/>
    <n v="3.4"/>
  </r>
  <r>
    <x v="52"/>
    <d v="2024-04-29T00:00:00"/>
    <x v="3"/>
    <x v="1"/>
    <x v="95"/>
    <x v="3"/>
    <n v="50"/>
    <n v="10"/>
    <n v="233"/>
    <n v="53"/>
    <n v="1.5"/>
    <d v="2024-08-15T00:00:00"/>
    <n v="180"/>
    <n v="168.5"/>
  </r>
  <r>
    <x v="95"/>
    <d v="2024-06-01T00:00:00"/>
    <x v="0"/>
    <x v="1"/>
    <x v="200"/>
    <x v="0"/>
    <n v="20"/>
    <n v="10"/>
    <n v="355"/>
    <n v="257"/>
    <n v="0.6"/>
    <d v="2024-10-05T00:00:00"/>
    <n v="98"/>
    <n v="87.4"/>
  </r>
  <r>
    <x v="62"/>
    <d v="2024-04-28T00:00:00"/>
    <x v="4"/>
    <x v="2"/>
    <x v="63"/>
    <x v="3"/>
    <n v="100"/>
    <n v="50"/>
    <n v="595"/>
    <n v="544"/>
    <n v="3"/>
    <d v="2024-07-19T00:00:00"/>
    <n v="51"/>
    <n v="-2"/>
  </r>
  <r>
    <x v="62"/>
    <d v="2024-03-23T00:00:00"/>
    <x v="1"/>
    <x v="2"/>
    <x v="133"/>
    <x v="2"/>
    <n v="100"/>
    <n v="20"/>
    <n v="859"/>
    <n v="465"/>
    <n v="3"/>
    <d v="2024-07-31T00:00:00"/>
    <n v="394"/>
    <n v="371"/>
  </r>
  <r>
    <x v="64"/>
    <d v="2024-02-24T00:00:00"/>
    <x v="0"/>
    <x v="1"/>
    <x v="140"/>
    <x v="1"/>
    <n v="0"/>
    <n v="0"/>
    <n v="293"/>
    <n v="228"/>
    <n v="0"/>
    <d v="2024-04-06T00:00:00"/>
    <n v="65"/>
    <n v="65"/>
  </r>
  <r>
    <x v="99"/>
    <d v="2024-06-22T00:00:00"/>
    <x v="4"/>
    <x v="1"/>
    <x v="190"/>
    <x v="3"/>
    <n v="20"/>
    <n v="0"/>
    <n v="105"/>
    <n v="12"/>
    <n v="0.6"/>
    <d v="2024-12-20T00:00:00"/>
    <n v="93"/>
    <n v="92.4"/>
  </r>
  <r>
    <x v="12"/>
    <d v="2024-04-02T00:00:00"/>
    <x v="3"/>
    <x v="0"/>
    <x v="127"/>
    <x v="3"/>
    <n v="20"/>
    <n v="10"/>
    <n v="312"/>
    <n v="148"/>
    <n v="0.6"/>
    <d v="2024-05-08T00:00:00"/>
    <n v="164"/>
    <n v="153.4"/>
  </r>
  <r>
    <x v="28"/>
    <d v="2024-06-13T00:00:00"/>
    <x v="2"/>
    <x v="2"/>
    <x v="158"/>
    <x v="3"/>
    <n v="100"/>
    <n v="20"/>
    <n v="802"/>
    <n v="268"/>
    <n v="3"/>
    <d v="2024-08-12T00:00:00"/>
    <n v="534"/>
    <n v="511"/>
  </r>
  <r>
    <x v="97"/>
    <d v="2024-02-23T00:00:00"/>
    <x v="0"/>
    <x v="0"/>
    <x v="123"/>
    <x v="0"/>
    <n v="500"/>
    <n v="0"/>
    <n v="923"/>
    <n v="558"/>
    <n v="15"/>
    <d v="2024-06-24T00:00:00"/>
    <n v="365"/>
    <n v="350"/>
  </r>
  <r>
    <x v="6"/>
    <d v="2024-05-29T00:00:00"/>
    <x v="0"/>
    <x v="0"/>
    <x v="201"/>
    <x v="3"/>
    <n v="0"/>
    <n v="0"/>
    <n v="428"/>
    <n v="223"/>
    <n v="0"/>
    <d v="2024-10-22T00:00:00"/>
    <n v="205"/>
    <n v="205"/>
  </r>
  <r>
    <x v="37"/>
    <d v="2024-04-24T00:00:00"/>
    <x v="0"/>
    <x v="0"/>
    <x v="164"/>
    <x v="2"/>
    <n v="100"/>
    <n v="50"/>
    <n v="200"/>
    <n v="192"/>
    <n v="3"/>
    <d v="2024-08-23T00:00:00"/>
    <n v="8"/>
    <n v="-45"/>
  </r>
  <r>
    <x v="76"/>
    <d v="2024-04-20T00:00:00"/>
    <x v="2"/>
    <x v="2"/>
    <x v="105"/>
    <x v="1"/>
    <n v="20"/>
    <n v="4"/>
    <n v="475"/>
    <n v="277"/>
    <n v="0.6"/>
    <d v="2024-08-23T00:00:00"/>
    <n v="198"/>
    <n v="193.4"/>
  </r>
  <r>
    <x v="9"/>
    <d v="2024-01-05T00:00:00"/>
    <x v="0"/>
    <x v="0"/>
    <x v="202"/>
    <x v="3"/>
    <n v="100"/>
    <n v="0"/>
    <n v="308"/>
    <n v="47"/>
    <n v="3"/>
    <d v="2024-01-28T00:00:00"/>
    <n v="261"/>
    <n v="258"/>
  </r>
  <r>
    <x v="93"/>
    <d v="2024-02-08T00:00:00"/>
    <x v="3"/>
    <x v="0"/>
    <x v="33"/>
    <x v="1"/>
    <n v="500"/>
    <n v="250"/>
    <n v="611"/>
    <n v="159"/>
    <n v="15"/>
    <d v="2024-07-14T00:00:00"/>
    <n v="452"/>
    <n v="187"/>
  </r>
  <r>
    <x v="51"/>
    <d v="2024-01-11T00:00:00"/>
    <x v="4"/>
    <x v="2"/>
    <x v="203"/>
    <x v="3"/>
    <n v="50"/>
    <n v="10"/>
    <n v="395"/>
    <n v="160"/>
    <n v="1.5"/>
    <d v="2024-02-11T00:00:00"/>
    <n v="235"/>
    <n v="223.5"/>
  </r>
  <r>
    <x v="1"/>
    <d v="2024-02-17T00:00:00"/>
    <x v="2"/>
    <x v="1"/>
    <x v="85"/>
    <x v="3"/>
    <n v="500"/>
    <n v="100"/>
    <n v="623"/>
    <n v="366"/>
    <n v="15"/>
    <d v="2024-08-17T00:00:00"/>
    <n v="257"/>
    <n v="142"/>
  </r>
  <r>
    <x v="83"/>
    <d v="2024-04-30T00:00:00"/>
    <x v="4"/>
    <x v="1"/>
    <x v="46"/>
    <x v="3"/>
    <n v="500"/>
    <n v="0"/>
    <n v="464"/>
    <n v="107"/>
    <n v="15"/>
    <d v="2024-07-20T00:00:00"/>
    <n v="357"/>
    <n v="342"/>
  </r>
  <r>
    <x v="11"/>
    <d v="2024-04-19T00:00:00"/>
    <x v="4"/>
    <x v="2"/>
    <x v="57"/>
    <x v="2"/>
    <n v="50"/>
    <n v="25"/>
    <n v="850"/>
    <n v="240"/>
    <n v="1.5"/>
    <d v="2024-09-26T00:00:00"/>
    <n v="610"/>
    <n v="583.5"/>
  </r>
  <r>
    <x v="78"/>
    <d v="2024-01-05T00:00:00"/>
    <x v="3"/>
    <x v="0"/>
    <x v="204"/>
    <x v="1"/>
    <n v="500"/>
    <n v="100"/>
    <n v="762"/>
    <n v="616"/>
    <n v="15"/>
    <d v="2024-03-04T00:00:00"/>
    <n v="146"/>
    <n v="31"/>
  </r>
  <r>
    <x v="90"/>
    <d v="2024-01-01T00:00:00"/>
    <x v="4"/>
    <x v="0"/>
    <x v="97"/>
    <x v="2"/>
    <n v="200"/>
    <n v="0"/>
    <n v="779"/>
    <n v="701"/>
    <n v="6"/>
    <d v="2024-04-28T00:00:00"/>
    <n v="78"/>
    <n v="72"/>
  </r>
  <r>
    <x v="43"/>
    <d v="2024-01-23T00:00:00"/>
    <x v="3"/>
    <x v="2"/>
    <x v="205"/>
    <x v="3"/>
    <n v="500"/>
    <n v="0"/>
    <n v="392"/>
    <n v="232"/>
    <n v="15"/>
    <d v="2024-08-14T00:00:00"/>
    <n v="160"/>
    <n v="145"/>
  </r>
  <r>
    <x v="76"/>
    <d v="2024-06-03T00:00:00"/>
    <x v="4"/>
    <x v="2"/>
    <x v="50"/>
    <x v="3"/>
    <n v="50"/>
    <n v="0"/>
    <n v="120"/>
    <n v="40"/>
    <n v="1.5"/>
    <d v="2024-10-03T00:00:00"/>
    <n v="80"/>
    <n v="78.5"/>
  </r>
  <r>
    <x v="43"/>
    <d v="2024-03-10T00:00:00"/>
    <x v="3"/>
    <x v="0"/>
    <x v="119"/>
    <x v="0"/>
    <n v="0"/>
    <n v="0"/>
    <n v="889"/>
    <n v="505"/>
    <n v="0"/>
    <d v="2024-06-24T00:00:00"/>
    <n v="384"/>
    <n v="384"/>
  </r>
  <r>
    <x v="21"/>
    <d v="2024-06-20T00:00:00"/>
    <x v="4"/>
    <x v="0"/>
    <x v="149"/>
    <x v="0"/>
    <n v="200"/>
    <n v="100"/>
    <n v="136"/>
    <n v="51"/>
    <n v="6"/>
    <d v="2024-08-16T00:00:00"/>
    <n v="85"/>
    <n v="-21"/>
  </r>
  <r>
    <x v="15"/>
    <d v="2024-03-01T00:00:00"/>
    <x v="0"/>
    <x v="1"/>
    <x v="199"/>
    <x v="1"/>
    <n v="20"/>
    <n v="10"/>
    <n v="287"/>
    <n v="228"/>
    <n v="0.6"/>
    <d v="2024-04-01T00:00:00"/>
    <n v="59"/>
    <n v="48.4"/>
  </r>
  <r>
    <x v="73"/>
    <d v="2024-05-02T00:00:00"/>
    <x v="4"/>
    <x v="2"/>
    <x v="206"/>
    <x v="1"/>
    <n v="50"/>
    <n v="25"/>
    <n v="822"/>
    <n v="360"/>
    <n v="1.5"/>
    <d v="2024-05-26T00:00:00"/>
    <n v="462"/>
    <n v="435.5"/>
  </r>
  <r>
    <x v="51"/>
    <d v="2024-01-28T00:00:00"/>
    <x v="1"/>
    <x v="2"/>
    <x v="21"/>
    <x v="1"/>
    <n v="20"/>
    <n v="4"/>
    <n v="414"/>
    <n v="317"/>
    <n v="0.6"/>
    <d v="2024-06-09T00:00:00"/>
    <n v="97"/>
    <n v="92.4"/>
  </r>
  <r>
    <x v="59"/>
    <d v="2024-03-11T00:00:00"/>
    <x v="2"/>
    <x v="0"/>
    <x v="207"/>
    <x v="2"/>
    <n v="20"/>
    <n v="10"/>
    <n v="14"/>
    <n v="6"/>
    <n v="0.6"/>
    <d v="2024-04-21T00:00:00"/>
    <n v="8"/>
    <n v="-2.6"/>
  </r>
  <r>
    <x v="65"/>
    <d v="2024-03-05T00:00:00"/>
    <x v="4"/>
    <x v="0"/>
    <x v="80"/>
    <x v="3"/>
    <n v="100"/>
    <n v="0"/>
    <n v="433"/>
    <n v="164"/>
    <n v="3"/>
    <d v="2024-07-29T00:00:00"/>
    <n v="269"/>
    <n v="266"/>
  </r>
  <r>
    <x v="37"/>
    <d v="2024-04-22T00:00:00"/>
    <x v="0"/>
    <x v="0"/>
    <x v="87"/>
    <x v="2"/>
    <n v="100"/>
    <n v="0"/>
    <n v="90"/>
    <n v="31"/>
    <n v="3"/>
    <d v="2024-09-05T00:00:00"/>
    <n v="59"/>
    <n v="56"/>
  </r>
  <r>
    <x v="2"/>
    <d v="2024-02-22T00:00:00"/>
    <x v="2"/>
    <x v="2"/>
    <x v="87"/>
    <x v="1"/>
    <n v="50"/>
    <n v="25"/>
    <n v="1000"/>
    <n v="320"/>
    <n v="1.5"/>
    <d v="2024-08-26T00:00:00"/>
    <n v="680"/>
    <n v="653.5"/>
  </r>
  <r>
    <x v="42"/>
    <d v="2024-03-28T00:00:00"/>
    <x v="4"/>
    <x v="2"/>
    <x v="208"/>
    <x v="3"/>
    <n v="200"/>
    <n v="0"/>
    <n v="446"/>
    <n v="374"/>
    <n v="6"/>
    <d v="2024-08-29T00:00:00"/>
    <n v="72"/>
    <n v="66"/>
  </r>
  <r>
    <x v="85"/>
    <d v="2024-01-27T00:00:00"/>
    <x v="0"/>
    <x v="1"/>
    <x v="119"/>
    <x v="2"/>
    <n v="200"/>
    <n v="100"/>
    <n v="114"/>
    <n v="43"/>
    <n v="6"/>
    <d v="2024-07-14T00:00:00"/>
    <n v="71"/>
    <n v="-35"/>
  </r>
  <r>
    <x v="11"/>
    <d v="2024-06-23T00:00:00"/>
    <x v="4"/>
    <x v="0"/>
    <x v="101"/>
    <x v="1"/>
    <n v="0"/>
    <n v="0"/>
    <n v="72"/>
    <n v="67"/>
    <n v="0"/>
    <d v="2024-10-21T00:00:00"/>
    <n v="5"/>
    <n v="5"/>
  </r>
  <r>
    <x v="83"/>
    <d v="2024-03-17T00:00:00"/>
    <x v="1"/>
    <x v="2"/>
    <x v="206"/>
    <x v="2"/>
    <n v="20"/>
    <n v="10"/>
    <n v="803"/>
    <n v="342"/>
    <n v="0.6"/>
    <d v="2024-05-25T00:00:00"/>
    <n v="461"/>
    <n v="450.4"/>
  </r>
  <r>
    <x v="100"/>
    <d v="2024-06-29T00:00:00"/>
    <x v="1"/>
    <x v="1"/>
    <x v="209"/>
    <x v="2"/>
    <n v="200"/>
    <n v="40"/>
    <n v="62"/>
    <n v="10"/>
    <n v="6"/>
    <d v="2024-11-07T00:00:00"/>
    <n v="52"/>
    <n v="6"/>
  </r>
  <r>
    <x v="13"/>
    <d v="2024-05-06T00:00:00"/>
    <x v="4"/>
    <x v="0"/>
    <x v="160"/>
    <x v="3"/>
    <n v="200"/>
    <n v="0"/>
    <n v="141"/>
    <n v="86"/>
    <n v="6"/>
    <d v="2024-05-20T00:00:00"/>
    <n v="55"/>
    <n v="49"/>
  </r>
  <r>
    <x v="62"/>
    <d v="2024-03-25T00:00:00"/>
    <x v="3"/>
    <x v="1"/>
    <x v="71"/>
    <x v="1"/>
    <n v="200"/>
    <n v="40"/>
    <n v="584"/>
    <n v="446"/>
    <n v="6"/>
    <d v="2024-07-18T00:00:00"/>
    <n v="138"/>
    <n v="92"/>
  </r>
  <r>
    <x v="99"/>
    <d v="2024-04-29T00:00:00"/>
    <x v="1"/>
    <x v="1"/>
    <x v="63"/>
    <x v="1"/>
    <n v="0"/>
    <n v="0"/>
    <n v="564"/>
    <n v="410"/>
    <n v="0"/>
    <d v="2024-07-29T00:00:00"/>
    <n v="154"/>
    <n v="154"/>
  </r>
  <r>
    <x v="26"/>
    <d v="2024-04-17T00:00:00"/>
    <x v="1"/>
    <x v="2"/>
    <x v="210"/>
    <x v="0"/>
    <n v="500"/>
    <n v="250"/>
    <n v="560"/>
    <n v="216"/>
    <n v="15"/>
    <d v="2024-06-16T00:00:00"/>
    <n v="344"/>
    <n v="79"/>
  </r>
  <r>
    <x v="67"/>
    <d v="2024-02-22T00:00:00"/>
    <x v="1"/>
    <x v="0"/>
    <x v="211"/>
    <x v="0"/>
    <n v="0"/>
    <n v="0"/>
    <n v="209"/>
    <n v="156"/>
    <n v="0"/>
    <d v="2024-03-14T00:00:00"/>
    <n v="53"/>
    <n v="53"/>
  </r>
  <r>
    <x v="46"/>
    <d v="2024-04-11T00:00:00"/>
    <x v="4"/>
    <x v="1"/>
    <x v="177"/>
    <x v="3"/>
    <n v="0"/>
    <n v="0"/>
    <n v="351"/>
    <n v="195"/>
    <n v="0"/>
    <d v="2024-10-28T00:00:00"/>
    <n v="156"/>
    <n v="156"/>
  </r>
  <r>
    <x v="32"/>
    <d v="2024-01-14T00:00:00"/>
    <x v="0"/>
    <x v="2"/>
    <x v="212"/>
    <x v="2"/>
    <n v="20"/>
    <n v="0"/>
    <n v="714"/>
    <n v="13"/>
    <n v="0.6"/>
    <d v="2024-04-02T00:00:00"/>
    <n v="701"/>
    <n v="700.4"/>
  </r>
  <r>
    <x v="70"/>
    <d v="2024-06-01T00:00:00"/>
    <x v="3"/>
    <x v="2"/>
    <x v="198"/>
    <x v="1"/>
    <n v="500"/>
    <n v="0"/>
    <n v="336"/>
    <n v="284"/>
    <n v="15"/>
    <d v="2024-10-29T00:00:00"/>
    <n v="52"/>
    <n v="37"/>
  </r>
  <r>
    <x v="48"/>
    <d v="2024-01-19T00:00:00"/>
    <x v="3"/>
    <x v="2"/>
    <x v="29"/>
    <x v="0"/>
    <n v="500"/>
    <n v="100"/>
    <n v="648"/>
    <n v="333"/>
    <n v="15"/>
    <d v="2024-07-05T00:00:00"/>
    <n v="315"/>
    <n v="200"/>
  </r>
  <r>
    <x v="47"/>
    <d v="2024-06-24T00:00:00"/>
    <x v="3"/>
    <x v="2"/>
    <x v="213"/>
    <x v="0"/>
    <n v="500"/>
    <n v="250"/>
    <n v="417"/>
    <n v="304"/>
    <n v="15"/>
    <d v="2024-09-13T00:00:00"/>
    <n v="113"/>
    <n v="-152"/>
  </r>
  <r>
    <x v="100"/>
    <d v="2024-01-16T00:00:00"/>
    <x v="0"/>
    <x v="2"/>
    <x v="41"/>
    <x v="3"/>
    <n v="20"/>
    <n v="0"/>
    <n v="728"/>
    <n v="59"/>
    <n v="0.6"/>
    <d v="2024-05-14T00:00:00"/>
    <n v="669"/>
    <n v="668.4"/>
  </r>
  <r>
    <x v="71"/>
    <d v="2024-06-05T00:00:00"/>
    <x v="0"/>
    <x v="2"/>
    <x v="103"/>
    <x v="1"/>
    <n v="200"/>
    <n v="40"/>
    <n v="783"/>
    <n v="72"/>
    <n v="6"/>
    <d v="2024-12-24T00:00:00"/>
    <n v="711"/>
    <n v="665"/>
  </r>
  <r>
    <x v="10"/>
    <d v="2024-01-14T00:00:00"/>
    <x v="4"/>
    <x v="1"/>
    <x v="214"/>
    <x v="3"/>
    <n v="50"/>
    <n v="0"/>
    <n v="161"/>
    <n v="117"/>
    <n v="1.5"/>
    <d v="2024-02-07T00:00:00"/>
    <n v="44"/>
    <n v="42.5"/>
  </r>
  <r>
    <x v="62"/>
    <d v="2024-01-09T00:00:00"/>
    <x v="4"/>
    <x v="2"/>
    <x v="127"/>
    <x v="0"/>
    <n v="500"/>
    <n v="100"/>
    <n v="27"/>
    <n v="20"/>
    <n v="15"/>
    <d v="2024-05-13T00:00:00"/>
    <n v="7"/>
    <n v="-108"/>
  </r>
  <r>
    <x v="5"/>
    <d v="2024-01-23T00:00:00"/>
    <x v="0"/>
    <x v="0"/>
    <x v="89"/>
    <x v="1"/>
    <n v="0"/>
    <n v="0"/>
    <n v="175"/>
    <n v="109"/>
    <n v="0"/>
    <d v="2024-05-11T00:00:00"/>
    <n v="66"/>
    <n v="66"/>
  </r>
  <r>
    <x v="3"/>
    <d v="2024-04-10T00:00:00"/>
    <x v="0"/>
    <x v="2"/>
    <x v="41"/>
    <x v="2"/>
    <n v="0"/>
    <n v="0"/>
    <n v="481"/>
    <n v="10"/>
    <n v="0"/>
    <d v="2024-05-26T00:00:00"/>
    <n v="471"/>
    <n v="471"/>
  </r>
  <r>
    <x v="89"/>
    <d v="2024-05-24T00:00:00"/>
    <x v="3"/>
    <x v="0"/>
    <x v="215"/>
    <x v="0"/>
    <n v="500"/>
    <n v="250"/>
    <n v="661"/>
    <n v="216"/>
    <n v="15"/>
    <d v="2024-10-30T00:00:00"/>
    <n v="445"/>
    <n v="180"/>
  </r>
  <r>
    <x v="16"/>
    <d v="2024-06-05T00:00:00"/>
    <x v="2"/>
    <x v="0"/>
    <x v="135"/>
    <x v="1"/>
    <n v="100"/>
    <n v="0"/>
    <n v="391"/>
    <n v="275"/>
    <n v="3"/>
    <d v="2024-06-17T00:00:00"/>
    <n v="116"/>
    <n v="113"/>
  </r>
  <r>
    <x v="22"/>
    <d v="2024-03-04T00:00:00"/>
    <x v="3"/>
    <x v="0"/>
    <x v="152"/>
    <x v="1"/>
    <n v="500"/>
    <n v="250"/>
    <n v="888"/>
    <n v="65"/>
    <n v="15"/>
    <d v="2024-08-31T00:00:00"/>
    <n v="823"/>
    <n v="558"/>
  </r>
  <r>
    <x v="70"/>
    <d v="2024-01-24T00:00:00"/>
    <x v="0"/>
    <x v="0"/>
    <x v="31"/>
    <x v="2"/>
    <n v="50"/>
    <n v="10"/>
    <n v="252"/>
    <n v="244"/>
    <n v="1.5"/>
    <d v="2024-03-14T00:00:00"/>
    <n v="8"/>
    <n v="-3.5"/>
  </r>
  <r>
    <x v="61"/>
    <d v="2024-06-29T00:00:00"/>
    <x v="1"/>
    <x v="1"/>
    <x v="122"/>
    <x v="0"/>
    <n v="0"/>
    <n v="0"/>
    <n v="728"/>
    <n v="396"/>
    <n v="0"/>
    <d v="2024-09-22T00:00:00"/>
    <n v="332"/>
    <n v="332"/>
  </r>
  <r>
    <x v="37"/>
    <d v="2024-06-15T00:00:00"/>
    <x v="3"/>
    <x v="1"/>
    <x v="209"/>
    <x v="2"/>
    <n v="50"/>
    <n v="0"/>
    <n v="543"/>
    <n v="174"/>
    <n v="1.5"/>
    <d v="2024-11-07T00:00:00"/>
    <n v="369"/>
    <n v="367.5"/>
  </r>
  <r>
    <x v="97"/>
    <d v="2024-03-12T00:00:00"/>
    <x v="3"/>
    <x v="2"/>
    <x v="130"/>
    <x v="0"/>
    <n v="200"/>
    <n v="100"/>
    <n v="601"/>
    <n v="494"/>
    <n v="6"/>
    <d v="2024-05-20T00:00:00"/>
    <n v="107"/>
    <n v="1"/>
  </r>
  <r>
    <x v="97"/>
    <d v="2024-01-24T00:00:00"/>
    <x v="0"/>
    <x v="2"/>
    <x v="97"/>
    <x v="0"/>
    <n v="200"/>
    <n v="40"/>
    <n v="474"/>
    <n v="102"/>
    <n v="6"/>
    <d v="2024-04-23T00:00:00"/>
    <n v="372"/>
    <n v="326"/>
  </r>
  <r>
    <x v="70"/>
    <d v="2024-06-10T00:00:00"/>
    <x v="0"/>
    <x v="2"/>
    <x v="6"/>
    <x v="3"/>
    <n v="100"/>
    <n v="50"/>
    <n v="552"/>
    <n v="243"/>
    <n v="3"/>
    <d v="2024-09-14T00:00:00"/>
    <n v="309"/>
    <n v="256"/>
  </r>
  <r>
    <x v="58"/>
    <d v="2024-06-04T00:00:00"/>
    <x v="1"/>
    <x v="1"/>
    <x v="190"/>
    <x v="3"/>
    <n v="100"/>
    <n v="50"/>
    <n v="387"/>
    <n v="320"/>
    <n v="3"/>
    <d v="2024-12-03T00:00:00"/>
    <n v="67"/>
    <n v="14"/>
  </r>
  <r>
    <x v="35"/>
    <d v="2024-04-21T00:00:00"/>
    <x v="4"/>
    <x v="0"/>
    <x v="186"/>
    <x v="3"/>
    <n v="20"/>
    <n v="4"/>
    <n v="832"/>
    <n v="424"/>
    <n v="0.6"/>
    <d v="2024-07-12T00:00:00"/>
    <n v="408"/>
    <n v="403.4"/>
  </r>
  <r>
    <x v="65"/>
    <d v="2024-05-30T00:00:00"/>
    <x v="1"/>
    <x v="2"/>
    <x v="216"/>
    <x v="1"/>
    <n v="20"/>
    <n v="0"/>
    <n v="294"/>
    <n v="169"/>
    <n v="0.6"/>
    <d v="2024-11-16T00:00:00"/>
    <n v="125"/>
    <n v="124.4"/>
  </r>
  <r>
    <x v="41"/>
    <d v="2024-01-19T00:00:00"/>
    <x v="4"/>
    <x v="2"/>
    <x v="217"/>
    <x v="1"/>
    <n v="0"/>
    <n v="0"/>
    <n v="645"/>
    <n v="53"/>
    <n v="0"/>
    <d v="2024-03-16T00:00:00"/>
    <n v="592"/>
    <n v="592"/>
  </r>
  <r>
    <x v="82"/>
    <d v="2024-04-23T00:00:00"/>
    <x v="3"/>
    <x v="1"/>
    <x v="53"/>
    <x v="0"/>
    <n v="50"/>
    <n v="25"/>
    <n v="384"/>
    <n v="338"/>
    <n v="1.5"/>
    <d v="2024-08-07T00:00:00"/>
    <n v="46"/>
    <n v="19.5"/>
  </r>
  <r>
    <x v="25"/>
    <d v="2024-06-27T00:00:00"/>
    <x v="2"/>
    <x v="1"/>
    <x v="218"/>
    <x v="1"/>
    <n v="200"/>
    <n v="40"/>
    <n v="997"/>
    <n v="815"/>
    <n v="6"/>
    <d v="2024-11-08T00:00:00"/>
    <n v="182"/>
    <n v="136"/>
  </r>
  <r>
    <x v="49"/>
    <d v="2024-04-01T00:00:00"/>
    <x v="2"/>
    <x v="0"/>
    <x v="73"/>
    <x v="0"/>
    <n v="50"/>
    <n v="0"/>
    <n v="375"/>
    <n v="9"/>
    <n v="1.5"/>
    <d v="2024-08-03T00:00:00"/>
    <n v="366"/>
    <n v="364.5"/>
  </r>
  <r>
    <x v="16"/>
    <d v="2024-03-20T00:00:00"/>
    <x v="3"/>
    <x v="2"/>
    <x v="2"/>
    <x v="2"/>
    <n v="50"/>
    <n v="0"/>
    <n v="669"/>
    <n v="625"/>
    <n v="1.5"/>
    <d v="2024-04-18T00:00:00"/>
    <n v="44"/>
    <n v="42.5"/>
  </r>
  <r>
    <x v="71"/>
    <d v="2024-01-01T00:00:00"/>
    <x v="4"/>
    <x v="1"/>
    <x v="211"/>
    <x v="1"/>
    <n v="50"/>
    <n v="25"/>
    <n v="441"/>
    <n v="363"/>
    <n v="1.5"/>
    <d v="2024-03-13T00:00:00"/>
    <n v="78"/>
    <n v="51.5"/>
  </r>
  <r>
    <x v="7"/>
    <d v="2024-06-28T00:00:00"/>
    <x v="0"/>
    <x v="1"/>
    <x v="85"/>
    <x v="1"/>
    <n v="500"/>
    <n v="100"/>
    <n v="732"/>
    <n v="536"/>
    <n v="15"/>
    <d v="2024-08-19T00:00:00"/>
    <n v="196"/>
    <n v="81"/>
  </r>
  <r>
    <x v="31"/>
    <d v="2024-01-17T00:00:00"/>
    <x v="1"/>
    <x v="0"/>
    <x v="219"/>
    <x v="1"/>
    <n v="200"/>
    <n v="100"/>
    <n v="972"/>
    <n v="94"/>
    <n v="6"/>
    <d v="2024-06-02T00:00:00"/>
    <n v="878"/>
    <n v="772"/>
  </r>
  <r>
    <x v="54"/>
    <d v="2024-04-03T00:00:00"/>
    <x v="1"/>
    <x v="0"/>
    <x v="123"/>
    <x v="2"/>
    <n v="200"/>
    <n v="40"/>
    <n v="846"/>
    <n v="305"/>
    <n v="6"/>
    <d v="2024-07-02T00:00:00"/>
    <n v="541"/>
    <n v="495"/>
  </r>
  <r>
    <x v="0"/>
    <d v="2024-05-14T00:00:00"/>
    <x v="2"/>
    <x v="1"/>
    <x v="157"/>
    <x v="3"/>
    <n v="200"/>
    <n v="100"/>
    <n v="976"/>
    <n v="826"/>
    <n v="6"/>
    <d v="2024-07-10T00:00:00"/>
    <n v="150"/>
    <n v="44"/>
  </r>
  <r>
    <x v="98"/>
    <d v="2024-04-30T00:00:00"/>
    <x v="4"/>
    <x v="0"/>
    <x v="220"/>
    <x v="1"/>
    <n v="0"/>
    <n v="0"/>
    <n v="262"/>
    <n v="168"/>
    <n v="0"/>
    <d v="2024-09-22T00:00:00"/>
    <n v="94"/>
    <n v="94"/>
  </r>
  <r>
    <x v="5"/>
    <d v="2024-02-09T00:00:00"/>
    <x v="0"/>
    <x v="2"/>
    <x v="109"/>
    <x v="1"/>
    <n v="500"/>
    <n v="100"/>
    <n v="27"/>
    <n v="3"/>
    <n v="15"/>
    <d v="2024-08-05T00:00:00"/>
    <n v="24"/>
    <n v="-91"/>
  </r>
  <r>
    <x v="87"/>
    <d v="2024-05-23T00:00:00"/>
    <x v="1"/>
    <x v="2"/>
    <x v="76"/>
    <x v="1"/>
    <n v="50"/>
    <n v="10"/>
    <n v="492"/>
    <n v="371"/>
    <n v="1.5"/>
    <d v="2024-10-12T00:00:00"/>
    <n v="121"/>
    <n v="109.5"/>
  </r>
  <r>
    <x v="77"/>
    <d v="2024-03-01T00:00:00"/>
    <x v="1"/>
    <x v="1"/>
    <x v="221"/>
    <x v="1"/>
    <n v="500"/>
    <n v="250"/>
    <n v="936"/>
    <n v="306"/>
    <n v="15"/>
    <d v="2024-07-25T00:00:00"/>
    <n v="630"/>
    <n v="365"/>
  </r>
  <r>
    <x v="28"/>
    <d v="2024-06-25T00:00:00"/>
    <x v="4"/>
    <x v="1"/>
    <x v="53"/>
    <x v="2"/>
    <n v="100"/>
    <n v="20"/>
    <n v="290"/>
    <n v="216"/>
    <n v="3"/>
    <d v="2024-07-31T00:00:00"/>
    <n v="74"/>
    <n v="51"/>
  </r>
  <r>
    <x v="65"/>
    <d v="2024-04-06T00:00:00"/>
    <x v="2"/>
    <x v="1"/>
    <x v="6"/>
    <x v="2"/>
    <n v="100"/>
    <n v="0"/>
    <n v="798"/>
    <n v="238"/>
    <n v="3"/>
    <d v="2024-08-18T00:00:00"/>
    <n v="560"/>
    <n v="557"/>
  </r>
  <r>
    <x v="39"/>
    <d v="2024-04-09T00:00:00"/>
    <x v="3"/>
    <x v="1"/>
    <x v="40"/>
    <x v="2"/>
    <n v="200"/>
    <n v="100"/>
    <n v="591"/>
    <n v="386"/>
    <n v="6"/>
    <d v="2024-06-23T00:00:00"/>
    <n v="205"/>
    <n v="99"/>
  </r>
  <r>
    <x v="98"/>
    <d v="2024-06-25T00:00:00"/>
    <x v="3"/>
    <x v="0"/>
    <x v="222"/>
    <x v="0"/>
    <n v="20"/>
    <n v="0"/>
    <n v="502"/>
    <n v="185"/>
    <n v="0.6"/>
    <d v="2024-12-20T00:00:00"/>
    <n v="317"/>
    <n v="316.39999999999998"/>
  </r>
  <r>
    <x v="80"/>
    <d v="2024-01-26T00:00:00"/>
    <x v="4"/>
    <x v="2"/>
    <x v="28"/>
    <x v="1"/>
    <n v="20"/>
    <n v="0"/>
    <n v="899"/>
    <n v="100"/>
    <n v="0.6"/>
    <d v="2024-07-26T00:00:00"/>
    <n v="799"/>
    <n v="798.4"/>
  </r>
  <r>
    <x v="49"/>
    <d v="2024-04-09T00:00:00"/>
    <x v="1"/>
    <x v="1"/>
    <x v="174"/>
    <x v="1"/>
    <n v="100"/>
    <n v="20"/>
    <n v="974"/>
    <n v="666"/>
    <n v="3"/>
    <d v="2024-08-28T00:00:00"/>
    <n v="308"/>
    <n v="285"/>
  </r>
  <r>
    <x v="37"/>
    <d v="2024-02-14T00:00:00"/>
    <x v="4"/>
    <x v="1"/>
    <x v="54"/>
    <x v="2"/>
    <n v="0"/>
    <n v="0"/>
    <n v="444"/>
    <n v="269"/>
    <n v="0"/>
    <d v="2024-04-10T00:00:00"/>
    <n v="175"/>
    <n v="175"/>
  </r>
  <r>
    <x v="69"/>
    <d v="2024-05-21T00:00:00"/>
    <x v="0"/>
    <x v="0"/>
    <x v="108"/>
    <x v="0"/>
    <n v="200"/>
    <n v="40"/>
    <n v="75"/>
    <n v="66"/>
    <n v="6"/>
    <d v="2024-06-12T00:00:00"/>
    <n v="9"/>
    <n v="-37"/>
  </r>
  <r>
    <x v="68"/>
    <d v="2024-01-12T00:00:00"/>
    <x v="0"/>
    <x v="1"/>
    <x v="223"/>
    <x v="1"/>
    <n v="50"/>
    <n v="25"/>
    <n v="143"/>
    <n v="50"/>
    <n v="1.5"/>
    <d v="2024-03-05T00:00:00"/>
    <n v="93"/>
    <n v="66.5"/>
  </r>
  <r>
    <x v="41"/>
    <d v="2024-02-16T00:00:00"/>
    <x v="4"/>
    <x v="2"/>
    <x v="224"/>
    <x v="2"/>
    <n v="200"/>
    <n v="0"/>
    <n v="919"/>
    <n v="861"/>
    <n v="6"/>
    <d v="2024-04-04T00:00:00"/>
    <n v="58"/>
    <n v="52"/>
  </r>
  <r>
    <x v="38"/>
    <d v="2024-05-23T00:00:00"/>
    <x v="4"/>
    <x v="0"/>
    <x v="58"/>
    <x v="1"/>
    <n v="200"/>
    <n v="40"/>
    <n v="744"/>
    <n v="744"/>
    <n v="6"/>
    <d v="2024-08-26T00:00:00"/>
    <n v="0"/>
    <n v="-46"/>
  </r>
  <r>
    <x v="55"/>
    <d v="2024-04-30T00:00:00"/>
    <x v="0"/>
    <x v="0"/>
    <x v="134"/>
    <x v="2"/>
    <n v="20"/>
    <n v="10"/>
    <n v="999"/>
    <n v="174"/>
    <n v="0.6"/>
    <d v="2024-05-13T00:00:00"/>
    <n v="825"/>
    <n v="814.4"/>
  </r>
  <r>
    <x v="96"/>
    <d v="2024-03-25T00:00:00"/>
    <x v="0"/>
    <x v="2"/>
    <x v="81"/>
    <x v="1"/>
    <n v="200"/>
    <n v="40"/>
    <n v="266"/>
    <n v="179"/>
    <n v="6"/>
    <d v="2024-08-06T00:00:00"/>
    <n v="87"/>
    <n v="41"/>
  </r>
  <r>
    <x v="60"/>
    <d v="2024-05-26T00:00:00"/>
    <x v="3"/>
    <x v="0"/>
    <x v="157"/>
    <x v="2"/>
    <n v="0"/>
    <n v="0"/>
    <n v="878"/>
    <n v="124"/>
    <n v="0"/>
    <d v="2024-07-16T00:00:00"/>
    <n v="754"/>
    <n v="754"/>
  </r>
  <r>
    <x v="29"/>
    <d v="2024-04-10T00:00:00"/>
    <x v="0"/>
    <x v="0"/>
    <x v="225"/>
    <x v="0"/>
    <n v="50"/>
    <n v="25"/>
    <n v="788"/>
    <n v="620"/>
    <n v="1.5"/>
    <d v="2024-04-21T00:00:00"/>
    <n v="168"/>
    <n v="141.5"/>
  </r>
  <r>
    <x v="20"/>
    <d v="2024-05-07T00:00:00"/>
    <x v="4"/>
    <x v="0"/>
    <x v="124"/>
    <x v="2"/>
    <n v="20"/>
    <n v="4"/>
    <n v="147"/>
    <n v="74"/>
    <n v="0.6"/>
    <d v="2024-06-28T00:00:00"/>
    <n v="73"/>
    <n v="68.400000000000006"/>
  </r>
  <r>
    <x v="34"/>
    <d v="2024-01-28T00:00:00"/>
    <x v="3"/>
    <x v="1"/>
    <x v="226"/>
    <x v="0"/>
    <n v="200"/>
    <n v="0"/>
    <n v="276"/>
    <n v="129"/>
    <n v="6"/>
    <d v="2024-02-18T00:00:00"/>
    <n v="147"/>
    <n v="141"/>
  </r>
  <r>
    <x v="51"/>
    <d v="2024-04-06T00:00:00"/>
    <x v="1"/>
    <x v="1"/>
    <x v="145"/>
    <x v="2"/>
    <n v="100"/>
    <n v="50"/>
    <n v="300"/>
    <n v="67"/>
    <n v="3"/>
    <d v="2024-08-15T00:00:00"/>
    <n v="233"/>
    <n v="180"/>
  </r>
  <r>
    <x v="80"/>
    <d v="2024-02-13T00:00:00"/>
    <x v="2"/>
    <x v="1"/>
    <x v="152"/>
    <x v="2"/>
    <n v="20"/>
    <n v="4"/>
    <n v="91"/>
    <n v="56"/>
    <n v="0.6"/>
    <d v="2024-08-23T00:00:00"/>
    <n v="35"/>
    <n v="30.4"/>
  </r>
  <r>
    <x v="77"/>
    <d v="2024-06-19T00:00:00"/>
    <x v="1"/>
    <x v="2"/>
    <x v="1"/>
    <x v="2"/>
    <n v="20"/>
    <n v="0"/>
    <n v="377"/>
    <n v="148"/>
    <n v="0.6"/>
    <d v="2024-08-01T00:00:00"/>
    <n v="229"/>
    <n v="228.4"/>
  </r>
  <r>
    <x v="3"/>
    <d v="2024-02-25T00:00:00"/>
    <x v="3"/>
    <x v="0"/>
    <x v="55"/>
    <x v="1"/>
    <n v="100"/>
    <n v="50"/>
    <n v="484"/>
    <n v="272"/>
    <n v="3"/>
    <d v="2024-05-06T00:00:00"/>
    <n v="212"/>
    <n v="159"/>
  </r>
  <r>
    <x v="25"/>
    <d v="2024-03-16T00:00:00"/>
    <x v="4"/>
    <x v="1"/>
    <x v="135"/>
    <x v="3"/>
    <n v="100"/>
    <n v="0"/>
    <n v="360"/>
    <n v="113"/>
    <n v="3"/>
    <d v="2024-07-06T00:00:00"/>
    <n v="247"/>
    <n v="244"/>
  </r>
  <r>
    <x v="75"/>
    <d v="2024-04-07T00:00:00"/>
    <x v="0"/>
    <x v="1"/>
    <x v="94"/>
    <x v="2"/>
    <n v="500"/>
    <n v="100"/>
    <n v="140"/>
    <n v="130"/>
    <n v="15"/>
    <d v="2024-09-04T00:00:00"/>
    <n v="10"/>
    <n v="-105"/>
  </r>
  <r>
    <x v="50"/>
    <d v="2024-03-27T00:00:00"/>
    <x v="3"/>
    <x v="1"/>
    <x v="1"/>
    <x v="1"/>
    <n v="100"/>
    <n v="50"/>
    <n v="288"/>
    <n v="240"/>
    <n v="3"/>
    <d v="2024-08-04T00:00:00"/>
    <n v="48"/>
    <n v="-5"/>
  </r>
  <r>
    <x v="17"/>
    <d v="2024-04-01T00:00:00"/>
    <x v="4"/>
    <x v="0"/>
    <x v="208"/>
    <x v="2"/>
    <n v="0"/>
    <n v="0"/>
    <n v="730"/>
    <n v="714"/>
    <n v="0"/>
    <d v="2024-08-13T00:00:00"/>
    <n v="16"/>
    <n v="16"/>
  </r>
  <r>
    <x v="64"/>
    <d v="2024-02-21T00:00:00"/>
    <x v="0"/>
    <x v="2"/>
    <x v="136"/>
    <x v="3"/>
    <n v="50"/>
    <n v="10"/>
    <n v="534"/>
    <n v="402"/>
    <n v="1.5"/>
    <d v="2024-06-09T00:00:00"/>
    <n v="132"/>
    <n v="120.5"/>
  </r>
  <r>
    <x v="97"/>
    <d v="2024-05-18T00:00:00"/>
    <x v="4"/>
    <x v="2"/>
    <x v="227"/>
    <x v="0"/>
    <n v="0"/>
    <n v="0"/>
    <n v="482"/>
    <n v="405"/>
    <n v="0"/>
    <d v="2024-10-18T00:00:00"/>
    <n v="77"/>
    <n v="77"/>
  </r>
  <r>
    <x v="67"/>
    <d v="2024-01-21T00:00:00"/>
    <x v="4"/>
    <x v="1"/>
    <x v="154"/>
    <x v="3"/>
    <n v="100"/>
    <n v="0"/>
    <n v="718"/>
    <n v="196"/>
    <n v="3"/>
    <d v="2024-07-01T00:00:00"/>
    <n v="522"/>
    <n v="519"/>
  </r>
  <r>
    <x v="18"/>
    <d v="2024-06-02T00:00:00"/>
    <x v="2"/>
    <x v="0"/>
    <x v="35"/>
    <x v="2"/>
    <n v="20"/>
    <n v="0"/>
    <n v="545"/>
    <n v="232"/>
    <n v="0.6"/>
    <d v="2024-10-07T00:00:00"/>
    <n v="313"/>
    <n v="312.39999999999998"/>
  </r>
  <r>
    <x v="30"/>
    <d v="2024-02-29T00:00:00"/>
    <x v="2"/>
    <x v="1"/>
    <x v="205"/>
    <x v="2"/>
    <n v="200"/>
    <n v="0"/>
    <n v="999"/>
    <n v="20"/>
    <n v="6"/>
    <d v="2024-07-15T00:00:00"/>
    <n v="979"/>
    <n v="973"/>
  </r>
  <r>
    <x v="90"/>
    <d v="2024-01-12T00:00:00"/>
    <x v="0"/>
    <x v="2"/>
    <x v="228"/>
    <x v="0"/>
    <n v="50"/>
    <n v="10"/>
    <n v="101"/>
    <n v="67"/>
    <n v="1.5"/>
    <d v="2024-02-27T00:00:00"/>
    <n v="34"/>
    <n v="22.5"/>
  </r>
  <r>
    <x v="47"/>
    <d v="2024-02-07T00:00:00"/>
    <x v="3"/>
    <x v="1"/>
    <x v="189"/>
    <x v="1"/>
    <n v="200"/>
    <n v="100"/>
    <n v="836"/>
    <n v="642"/>
    <n v="6"/>
    <d v="2024-06-20T00:00:00"/>
    <n v="194"/>
    <n v="88"/>
  </r>
  <r>
    <x v="54"/>
    <d v="2024-05-24T00:00:00"/>
    <x v="4"/>
    <x v="0"/>
    <x v="195"/>
    <x v="3"/>
    <n v="20"/>
    <n v="4"/>
    <n v="517"/>
    <n v="296"/>
    <n v="0.6"/>
    <d v="2024-10-14T00:00:00"/>
    <n v="221"/>
    <n v="216.4"/>
  </r>
  <r>
    <x v="2"/>
    <d v="2024-01-30T00:00:00"/>
    <x v="3"/>
    <x v="2"/>
    <x v="31"/>
    <x v="0"/>
    <n v="100"/>
    <n v="50"/>
    <n v="361"/>
    <n v="24"/>
    <n v="3"/>
    <d v="2024-03-21T00:00:00"/>
    <n v="337"/>
    <n v="284"/>
  </r>
  <r>
    <x v="99"/>
    <d v="2024-03-14T00:00:00"/>
    <x v="3"/>
    <x v="0"/>
    <x v="68"/>
    <x v="1"/>
    <n v="500"/>
    <n v="0"/>
    <n v="664"/>
    <n v="26"/>
    <n v="15"/>
    <d v="2024-07-09T00:00:00"/>
    <n v="638"/>
    <n v="623"/>
  </r>
  <r>
    <x v="69"/>
    <d v="2024-03-07T00:00:00"/>
    <x v="1"/>
    <x v="1"/>
    <x v="62"/>
    <x v="3"/>
    <n v="500"/>
    <n v="250"/>
    <n v="11"/>
    <n v="3"/>
    <n v="15"/>
    <d v="2024-04-06T00:00:00"/>
    <n v="8"/>
    <n v="-257"/>
  </r>
  <r>
    <x v="35"/>
    <d v="2024-06-03T00:00:00"/>
    <x v="0"/>
    <x v="0"/>
    <x v="30"/>
    <x v="3"/>
    <n v="500"/>
    <n v="100"/>
    <n v="11"/>
    <n v="6"/>
    <n v="15"/>
    <d v="2024-07-19T00:00:00"/>
    <n v="5"/>
    <n v="-110"/>
  </r>
  <r>
    <x v="67"/>
    <d v="2024-06-13T00:00:00"/>
    <x v="0"/>
    <x v="2"/>
    <x v="213"/>
    <x v="1"/>
    <n v="200"/>
    <n v="100"/>
    <n v="858"/>
    <n v="810"/>
    <n v="6"/>
    <d v="2024-09-23T00:00:00"/>
    <n v="48"/>
    <n v="-5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C578099-038C-794D-9774-9C8E85BF1E2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13">
    <pivotField showAll="0"/>
    <pivotField numFmtId="164" showAll="0"/>
    <pivotField axis="axisRow" showAll="0">
      <items count="6">
        <item x="3"/>
        <item x="4"/>
        <item x="1"/>
        <item x="0"/>
        <item x="2"/>
        <item t="default"/>
      </items>
    </pivotField>
    <pivotField showAll="0"/>
    <pivotField numFmtId="164" showAll="0"/>
    <pivotField showAll="0"/>
    <pivotField showAll="0"/>
    <pivotField showAll="0"/>
    <pivotField showAll="0"/>
    <pivotField showAll="0"/>
    <pivotField showAll="0"/>
    <pivotField numFmtId="164" showAll="0"/>
    <pivotField dataField="1" showAll="0"/>
  </pivotFields>
  <rowFields count="1">
    <field x="2"/>
  </rowFields>
  <rowItems count="6">
    <i>
      <x/>
    </i>
    <i>
      <x v="1"/>
    </i>
    <i>
      <x v="2"/>
    </i>
    <i>
      <x v="3"/>
    </i>
    <i>
      <x v="4"/>
    </i>
    <i t="grand">
      <x/>
    </i>
  </rowItems>
  <colItems count="1">
    <i/>
  </colItems>
  <dataFields count="1">
    <dataField name="Sum of GRR"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832A5D3-5892-1D43-9C2B-2390AF1B1595}"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F10" firstHeaderRow="1" firstDataRow="2" firstDataCol="1"/>
  <pivotFields count="16">
    <pivotField showAll="0">
      <items count="102">
        <item x="0"/>
        <item x="81"/>
        <item x="92"/>
        <item x="20"/>
        <item x="63"/>
        <item x="76"/>
        <item x="5"/>
        <item x="64"/>
        <item x="14"/>
        <item x="89"/>
        <item x="18"/>
        <item x="94"/>
        <item x="43"/>
        <item x="42"/>
        <item x="87"/>
        <item x="80"/>
        <item x="84"/>
        <item x="90"/>
        <item x="53"/>
        <item x="39"/>
        <item x="28"/>
        <item x="15"/>
        <item x="100"/>
        <item x="34"/>
        <item x="35"/>
        <item x="12"/>
        <item x="7"/>
        <item x="85"/>
        <item x="56"/>
        <item x="13"/>
        <item x="86"/>
        <item x="19"/>
        <item x="29"/>
        <item x="41"/>
        <item x="60"/>
        <item x="44"/>
        <item x="54"/>
        <item x="24"/>
        <item x="37"/>
        <item x="10"/>
        <item x="1"/>
        <item x="62"/>
        <item x="48"/>
        <item x="68"/>
        <item x="67"/>
        <item x="17"/>
        <item x="77"/>
        <item x="45"/>
        <item x="36"/>
        <item x="70"/>
        <item x="96"/>
        <item x="22"/>
        <item x="73"/>
        <item x="27"/>
        <item x="72"/>
        <item x="21"/>
        <item x="98"/>
        <item x="30"/>
        <item x="25"/>
        <item x="26"/>
        <item x="16"/>
        <item x="11"/>
        <item x="91"/>
        <item x="65"/>
        <item x="2"/>
        <item x="52"/>
        <item x="46"/>
        <item x="31"/>
        <item x="51"/>
        <item x="82"/>
        <item x="95"/>
        <item x="59"/>
        <item x="78"/>
        <item x="66"/>
        <item x="58"/>
        <item x="83"/>
        <item x="50"/>
        <item x="71"/>
        <item x="99"/>
        <item x="38"/>
        <item x="79"/>
        <item x="33"/>
        <item x="47"/>
        <item x="75"/>
        <item x="97"/>
        <item x="74"/>
        <item x="23"/>
        <item x="3"/>
        <item x="88"/>
        <item x="4"/>
        <item x="32"/>
        <item x="69"/>
        <item x="49"/>
        <item x="9"/>
        <item x="57"/>
        <item x="40"/>
        <item x="6"/>
        <item x="93"/>
        <item x="8"/>
        <item x="55"/>
        <item x="61"/>
        <item t="default"/>
      </items>
    </pivotField>
    <pivotField numFmtId="164" showAll="0"/>
    <pivotField axis="axisRow" showAll="0">
      <items count="6">
        <item x="3"/>
        <item x="4"/>
        <item x="1"/>
        <item x="0"/>
        <item x="2"/>
        <item t="default"/>
      </items>
    </pivotField>
    <pivotField showAll="0">
      <items count="4">
        <item x="2"/>
        <item x="0"/>
        <item x="1"/>
        <item t="default"/>
      </items>
    </pivotField>
    <pivotField numFmtId="164" showAll="0">
      <items count="230">
        <item x="202"/>
        <item x="172"/>
        <item x="214"/>
        <item x="115"/>
        <item x="69"/>
        <item x="146"/>
        <item x="98"/>
        <item x="228"/>
        <item x="203"/>
        <item x="165"/>
        <item x="37"/>
        <item x="204"/>
        <item x="223"/>
        <item x="226"/>
        <item x="3"/>
        <item x="159"/>
        <item x="128"/>
        <item x="48"/>
        <item x="113"/>
        <item x="171"/>
        <item x="118"/>
        <item x="31"/>
        <item x="217"/>
        <item x="83"/>
        <item x="175"/>
        <item x="43"/>
        <item x="212"/>
        <item x="199"/>
        <item x="62"/>
        <item x="110"/>
        <item x="211"/>
        <item x="144"/>
        <item x="54"/>
        <item x="96"/>
        <item x="14"/>
        <item x="82"/>
        <item x="19"/>
        <item x="224"/>
        <item x="163"/>
        <item x="193"/>
        <item x="137"/>
        <item x="2"/>
        <item x="140"/>
        <item x="39"/>
        <item x="142"/>
        <item x="84"/>
        <item x="207"/>
        <item x="114"/>
        <item x="147"/>
        <item x="34"/>
        <item x="188"/>
        <item x="97"/>
        <item x="55"/>
        <item x="25"/>
        <item x="127"/>
        <item x="75"/>
        <item x="78"/>
        <item x="117"/>
        <item x="225"/>
        <item x="36"/>
        <item x="126"/>
        <item x="107"/>
        <item x="129"/>
        <item x="24"/>
        <item x="143"/>
        <item x="5"/>
        <item x="41"/>
        <item x="134"/>
        <item x="219"/>
        <item x="104"/>
        <item x="130"/>
        <item x="66"/>
        <item x="89"/>
        <item x="4"/>
        <item x="86"/>
        <item x="183"/>
        <item x="160"/>
        <item x="18"/>
        <item x="120"/>
        <item x="139"/>
        <item x="206"/>
        <item x="56"/>
        <item x="136"/>
        <item x="51"/>
        <item x="169"/>
        <item x="7"/>
        <item x="23"/>
        <item x="189"/>
        <item x="26"/>
        <item x="93"/>
        <item x="102"/>
        <item x="40"/>
        <item x="8"/>
        <item x="125"/>
        <item x="21"/>
        <item x="108"/>
        <item x="180"/>
        <item x="176"/>
        <item x="135"/>
        <item x="154"/>
        <item x="181"/>
        <item x="47"/>
        <item x="67"/>
        <item x="210"/>
        <item x="52"/>
        <item x="157"/>
        <item x="13"/>
        <item x="132"/>
        <item x="124"/>
        <item x="119"/>
        <item x="123"/>
        <item x="186"/>
        <item x="9"/>
        <item x="112"/>
        <item x="88"/>
        <item x="179"/>
        <item x="68"/>
        <item x="111"/>
        <item x="29"/>
        <item x="133"/>
        <item x="150"/>
        <item x="32"/>
        <item x="71"/>
        <item x="91"/>
        <item x="11"/>
        <item x="46"/>
        <item x="64"/>
        <item x="28"/>
        <item x="79"/>
        <item x="1"/>
        <item x="33"/>
        <item x="221"/>
        <item x="30"/>
        <item x="205"/>
        <item x="80"/>
        <item x="63"/>
        <item x="149"/>
        <item x="10"/>
        <item x="81"/>
        <item x="109"/>
        <item x="151"/>
        <item x="85"/>
        <item x="155"/>
        <item x="170"/>
        <item x="145"/>
        <item x="95"/>
        <item x="53"/>
        <item x="92"/>
        <item x="73"/>
        <item x="208"/>
        <item x="196"/>
        <item x="173"/>
        <item x="45"/>
        <item x="158"/>
        <item x="152"/>
        <item x="162"/>
        <item x="94"/>
        <item x="105"/>
        <item x="178"/>
        <item x="0"/>
        <item x="166"/>
        <item x="74"/>
        <item x="87"/>
        <item x="6"/>
        <item x="164"/>
        <item x="194"/>
        <item x="58"/>
        <item x="174"/>
        <item x="59"/>
        <item x="122"/>
        <item x="148"/>
        <item x="100"/>
        <item x="22"/>
        <item x="121"/>
        <item x="131"/>
        <item x="57"/>
        <item x="141"/>
        <item x="20"/>
        <item x="168"/>
        <item x="17"/>
        <item x="44"/>
        <item x="65"/>
        <item x="213"/>
        <item x="77"/>
        <item x="15"/>
        <item x="60"/>
        <item x="72"/>
        <item x="42"/>
        <item x="76"/>
        <item x="220"/>
        <item x="27"/>
        <item x="70"/>
        <item x="192"/>
        <item x="227"/>
        <item x="101"/>
        <item x="99"/>
        <item x="185"/>
        <item x="195"/>
        <item x="50"/>
        <item x="215"/>
        <item x="177"/>
        <item x="201"/>
        <item x="200"/>
        <item x="35"/>
        <item x="198"/>
        <item x="156"/>
        <item x="116"/>
        <item x="184"/>
        <item x="61"/>
        <item x="218"/>
        <item x="106"/>
        <item x="49"/>
        <item x="209"/>
        <item x="216"/>
        <item x="182"/>
        <item x="191"/>
        <item x="153"/>
        <item x="161"/>
        <item x="187"/>
        <item x="16"/>
        <item x="12"/>
        <item x="190"/>
        <item x="38"/>
        <item x="138"/>
        <item x="103"/>
        <item x="197"/>
        <item x="167"/>
        <item x="90"/>
        <item x="222"/>
        <item t="default"/>
      </items>
    </pivotField>
    <pivotField axis="axisCol" showAll="0">
      <items count="5">
        <item x="3"/>
        <item x="1"/>
        <item x="0"/>
        <item x="2"/>
        <item t="default"/>
      </items>
    </pivotField>
    <pivotField showAll="0"/>
    <pivotField showAll="0"/>
    <pivotField showAll="0"/>
    <pivotField showAll="0"/>
    <pivotField showAll="0"/>
    <pivotField numFmtId="164" showAll="0"/>
    <pivotField dataField="1"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6">
    <i>
      <x/>
    </i>
    <i>
      <x v="1"/>
    </i>
    <i>
      <x v="2"/>
    </i>
    <i>
      <x v="3"/>
    </i>
    <i>
      <x v="4"/>
    </i>
    <i t="grand">
      <x/>
    </i>
  </rowItems>
  <colFields count="1">
    <field x="5"/>
  </colFields>
  <colItems count="5">
    <i>
      <x/>
    </i>
    <i>
      <x v="1"/>
    </i>
    <i>
      <x v="2"/>
    </i>
    <i>
      <x v="3"/>
    </i>
    <i t="grand">
      <x/>
    </i>
  </colItems>
  <dataFields count="1">
    <dataField name="Sum of GRR" fld="12" baseField="0" baseItem="0"/>
  </dataFields>
  <chartFormats count="8">
    <chartFormat chart="0" format="233" series="1">
      <pivotArea type="data" outline="0" fieldPosition="0">
        <references count="1">
          <reference field="5" count="1" selected="0">
            <x v="0"/>
          </reference>
        </references>
      </pivotArea>
    </chartFormat>
    <chartFormat chart="0" format="234" series="1">
      <pivotArea type="data" outline="0" fieldPosition="0">
        <references count="1">
          <reference field="5" count="1" selected="0">
            <x v="1"/>
          </reference>
        </references>
      </pivotArea>
    </chartFormat>
    <chartFormat chart="0" format="235" series="1">
      <pivotArea type="data" outline="0" fieldPosition="0">
        <references count="1">
          <reference field="5" count="1" selected="0">
            <x v="2"/>
          </reference>
        </references>
      </pivotArea>
    </chartFormat>
    <chartFormat chart="0" format="236" series="1">
      <pivotArea type="data" outline="0" fieldPosition="0">
        <references count="1">
          <reference field="5" count="1" selected="0">
            <x v="3"/>
          </reference>
        </references>
      </pivotArea>
    </chartFormat>
    <chartFormat chart="0" format="237" series="1">
      <pivotArea type="data" outline="0" fieldPosition="0">
        <references count="2">
          <reference field="4294967294" count="1" selected="0">
            <x v="0"/>
          </reference>
          <reference field="5" count="1" selected="0">
            <x v="1"/>
          </reference>
        </references>
      </pivotArea>
    </chartFormat>
    <chartFormat chart="0" format="238" series="1">
      <pivotArea type="data" outline="0" fieldPosition="0">
        <references count="2">
          <reference field="4294967294" count="1" selected="0">
            <x v="0"/>
          </reference>
          <reference field="5" count="1" selected="0">
            <x v="3"/>
          </reference>
        </references>
      </pivotArea>
    </chartFormat>
    <chartFormat chart="0" format="239" series="1">
      <pivotArea type="data" outline="0" fieldPosition="0">
        <references count="2">
          <reference field="4294967294" count="1" selected="0">
            <x v="0"/>
          </reference>
          <reference field="5" count="1" selected="0">
            <x v="2"/>
          </reference>
        </references>
      </pivotArea>
    </chartFormat>
    <chartFormat chart="0" format="240"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501949C-1D91-1B48-A4EB-87F503D01BA3}" sourceName="Country">
  <pivotTables>
    <pivotTable tabId="5" name="PivotTable3"/>
  </pivotTables>
  <data>
    <tabular pivotCacheId="1422532704">
      <items count="5">
        <i x="3" s="1"/>
        <i x="4"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IP_Level" xr10:uid="{65C07830-1405-4743-90C6-4BB79B55AE6A}" sourceName="VIP_Level">
  <pivotTables>
    <pivotTable tabId="5" name="PivotTable3"/>
  </pivotTables>
  <data>
    <tabular pivotCacheId="1422532704">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e_Type" xr10:uid="{B757A2D4-6F07-574B-B8FD-03E31A2210A7}" sourceName="Game_Type">
  <pivotTables>
    <pivotTable tabId="5" name="PivotTable3"/>
  </pivotTables>
  <data>
    <tabular pivotCacheId="1422532704">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17F9A08-1DDA-6444-BA89-55F8CC9C6DD4}" cache="Slicer_Country" caption="Country" rowHeight="230716"/>
  <slicer name="VIP_Level" xr10:uid="{78987EAA-386C-4A49-9CC7-769A24D7F562}" cache="Slicer_VIP_Level" caption="VIP_Level" rowHeight="230716"/>
  <slicer name="Game_Type" xr10:uid="{D1DB6E6B-C1D9-DF43-82AE-6B5ABE03680B}" cache="Slicer_Game_Type" caption="Game_Type" rowHeight="230716"/>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01"/>
  <sheetViews>
    <sheetView tabSelected="1" workbookViewId="0">
      <selection activeCell="D5" sqref="D5"/>
    </sheetView>
  </sheetViews>
  <sheetFormatPr baseColWidth="10" defaultColWidth="8.83203125" defaultRowHeight="15" x14ac:dyDescent="0.2"/>
  <cols>
    <col min="1" max="12" width="18" customWidth="1"/>
  </cols>
  <sheetData>
    <row r="1" spans="1:14" x14ac:dyDescent="0.2">
      <c r="A1" t="s">
        <v>0</v>
      </c>
      <c r="B1" t="s">
        <v>1</v>
      </c>
      <c r="C1" t="s">
        <v>2</v>
      </c>
      <c r="D1" t="s">
        <v>3</v>
      </c>
      <c r="E1" t="s">
        <v>4</v>
      </c>
      <c r="F1" t="s">
        <v>5</v>
      </c>
      <c r="G1" t="s">
        <v>6</v>
      </c>
      <c r="H1" t="s">
        <v>7</v>
      </c>
      <c r="I1" t="s">
        <v>8</v>
      </c>
      <c r="J1" t="s">
        <v>9</v>
      </c>
      <c r="K1" t="s">
        <v>10</v>
      </c>
      <c r="L1" t="s">
        <v>11</v>
      </c>
      <c r="M1" t="s">
        <v>122</v>
      </c>
      <c r="N1" t="s">
        <v>126</v>
      </c>
    </row>
    <row r="2" spans="1:14" x14ac:dyDescent="0.2">
      <c r="A2" t="s">
        <v>12</v>
      </c>
      <c r="B2" s="1">
        <v>45370</v>
      </c>
      <c r="C2" t="s">
        <v>13</v>
      </c>
      <c r="D2">
        <v>1</v>
      </c>
      <c r="E2" s="1">
        <v>45517</v>
      </c>
      <c r="F2" t="s">
        <v>131</v>
      </c>
      <c r="G2">
        <v>500</v>
      </c>
      <c r="H2">
        <v>100</v>
      </c>
      <c r="I2">
        <v>969</v>
      </c>
      <c r="J2">
        <v>737</v>
      </c>
      <c r="K2">
        <v>15</v>
      </c>
      <c r="L2" s="1">
        <v>45529</v>
      </c>
      <c r="M2">
        <f>I2-J2</f>
        <v>232</v>
      </c>
      <c r="N2">
        <f>M2-H2-K2</f>
        <v>117</v>
      </c>
    </row>
    <row r="3" spans="1:14" x14ac:dyDescent="0.2">
      <c r="A3" t="s">
        <v>15</v>
      </c>
      <c r="B3" s="1">
        <v>45343</v>
      </c>
      <c r="C3" t="s">
        <v>16</v>
      </c>
      <c r="D3">
        <v>3</v>
      </c>
      <c r="E3" s="1">
        <v>45484</v>
      </c>
      <c r="F3" t="s">
        <v>129</v>
      </c>
      <c r="G3">
        <v>0</v>
      </c>
      <c r="H3">
        <v>0</v>
      </c>
      <c r="I3">
        <v>944</v>
      </c>
      <c r="J3">
        <v>703</v>
      </c>
      <c r="K3">
        <v>0</v>
      </c>
      <c r="L3" s="1">
        <v>45500</v>
      </c>
      <c r="M3">
        <f t="shared" ref="M3:M66" si="0">I3-J3</f>
        <v>241</v>
      </c>
      <c r="N3">
        <f t="shared" ref="N3:N66" si="1">M3-H3-K3</f>
        <v>241</v>
      </c>
    </row>
    <row r="4" spans="1:14" x14ac:dyDescent="0.2">
      <c r="A4" t="s">
        <v>18</v>
      </c>
      <c r="B4" s="1">
        <v>45353</v>
      </c>
      <c r="C4" t="s">
        <v>19</v>
      </c>
      <c r="D4">
        <v>1</v>
      </c>
      <c r="E4" s="1">
        <v>45381</v>
      </c>
      <c r="F4" t="s">
        <v>130</v>
      </c>
      <c r="G4">
        <v>200</v>
      </c>
      <c r="H4">
        <v>100</v>
      </c>
      <c r="I4">
        <v>127</v>
      </c>
      <c r="J4">
        <v>72</v>
      </c>
      <c r="K4">
        <v>6</v>
      </c>
      <c r="L4" s="1">
        <v>45410</v>
      </c>
      <c r="M4">
        <f t="shared" si="0"/>
        <v>55</v>
      </c>
      <c r="N4">
        <f t="shared" si="1"/>
        <v>-51</v>
      </c>
    </row>
    <row r="5" spans="1:14" x14ac:dyDescent="0.2">
      <c r="A5" t="s">
        <v>21</v>
      </c>
      <c r="B5" s="1">
        <v>45326</v>
      </c>
      <c r="C5" t="s">
        <v>22</v>
      </c>
      <c r="D5">
        <v>2</v>
      </c>
      <c r="E5" s="1">
        <v>45334</v>
      </c>
      <c r="F5" t="s">
        <v>131</v>
      </c>
      <c r="G5">
        <v>500</v>
      </c>
      <c r="H5">
        <v>250</v>
      </c>
      <c r="I5">
        <v>701</v>
      </c>
      <c r="J5">
        <v>195</v>
      </c>
      <c r="K5">
        <v>15</v>
      </c>
      <c r="L5" s="1">
        <v>45334</v>
      </c>
      <c r="M5">
        <f t="shared" si="0"/>
        <v>506</v>
      </c>
      <c r="N5">
        <f t="shared" si="1"/>
        <v>241</v>
      </c>
    </row>
    <row r="6" spans="1:14" x14ac:dyDescent="0.2">
      <c r="A6" t="s">
        <v>23</v>
      </c>
      <c r="B6" s="1">
        <v>45356</v>
      </c>
      <c r="C6" t="s">
        <v>13</v>
      </c>
      <c r="D6">
        <v>2</v>
      </c>
      <c r="E6" s="1">
        <v>45422</v>
      </c>
      <c r="F6" t="s">
        <v>130</v>
      </c>
      <c r="G6">
        <v>0</v>
      </c>
      <c r="H6">
        <v>0</v>
      </c>
      <c r="I6">
        <v>644</v>
      </c>
      <c r="J6">
        <v>545</v>
      </c>
      <c r="K6">
        <v>0</v>
      </c>
      <c r="L6" s="1">
        <v>45441</v>
      </c>
      <c r="M6">
        <f t="shared" si="0"/>
        <v>99</v>
      </c>
      <c r="N6">
        <f t="shared" si="1"/>
        <v>99</v>
      </c>
    </row>
    <row r="7" spans="1:14" x14ac:dyDescent="0.2">
      <c r="A7" t="s">
        <v>24</v>
      </c>
      <c r="B7" s="1">
        <v>45362</v>
      </c>
      <c r="C7" t="s">
        <v>16</v>
      </c>
      <c r="D7">
        <v>1</v>
      </c>
      <c r="E7" s="1">
        <v>45410</v>
      </c>
      <c r="F7" t="s">
        <v>130</v>
      </c>
      <c r="G7">
        <v>100</v>
      </c>
      <c r="H7">
        <v>0</v>
      </c>
      <c r="I7">
        <v>648</v>
      </c>
      <c r="J7">
        <v>537</v>
      </c>
      <c r="K7">
        <v>3</v>
      </c>
      <c r="L7" s="1">
        <v>45436</v>
      </c>
      <c r="M7">
        <f t="shared" si="0"/>
        <v>111</v>
      </c>
      <c r="N7">
        <f t="shared" si="1"/>
        <v>108</v>
      </c>
    </row>
    <row r="8" spans="1:14" x14ac:dyDescent="0.2">
      <c r="A8" t="s">
        <v>25</v>
      </c>
      <c r="B8" s="1">
        <v>45459</v>
      </c>
      <c r="C8" t="s">
        <v>26</v>
      </c>
      <c r="D8">
        <v>3</v>
      </c>
      <c r="E8" s="1">
        <v>45522</v>
      </c>
      <c r="F8" t="s">
        <v>129</v>
      </c>
      <c r="G8">
        <v>20</v>
      </c>
      <c r="H8">
        <v>4</v>
      </c>
      <c r="I8">
        <v>368</v>
      </c>
      <c r="J8">
        <v>86</v>
      </c>
      <c r="K8">
        <v>0.6</v>
      </c>
      <c r="L8" s="1">
        <v>45539</v>
      </c>
      <c r="M8">
        <f t="shared" si="0"/>
        <v>282</v>
      </c>
      <c r="N8">
        <f t="shared" si="1"/>
        <v>277.39999999999998</v>
      </c>
    </row>
    <row r="9" spans="1:14" x14ac:dyDescent="0.2">
      <c r="A9" t="s">
        <v>27</v>
      </c>
      <c r="B9" s="1">
        <v>45408</v>
      </c>
      <c r="C9" t="s">
        <v>13</v>
      </c>
      <c r="D9">
        <v>2</v>
      </c>
      <c r="E9" s="1">
        <v>45436</v>
      </c>
      <c r="F9" t="s">
        <v>128</v>
      </c>
      <c r="G9">
        <v>20</v>
      </c>
      <c r="H9">
        <v>10</v>
      </c>
      <c r="I9">
        <v>321</v>
      </c>
      <c r="J9">
        <v>248</v>
      </c>
      <c r="K9">
        <v>0.6</v>
      </c>
      <c r="L9" s="1">
        <v>45450</v>
      </c>
      <c r="M9">
        <f t="shared" si="0"/>
        <v>73</v>
      </c>
      <c r="N9">
        <f t="shared" si="1"/>
        <v>62.4</v>
      </c>
    </row>
    <row r="10" spans="1:14" x14ac:dyDescent="0.2">
      <c r="A10" t="s">
        <v>29</v>
      </c>
      <c r="B10" s="1">
        <v>45362</v>
      </c>
      <c r="C10" t="s">
        <v>16</v>
      </c>
      <c r="D10">
        <v>2</v>
      </c>
      <c r="E10" s="1">
        <v>45445</v>
      </c>
      <c r="F10" t="s">
        <v>129</v>
      </c>
      <c r="G10">
        <v>20</v>
      </c>
      <c r="H10">
        <v>4</v>
      </c>
      <c r="I10">
        <v>892</v>
      </c>
      <c r="J10">
        <v>864</v>
      </c>
      <c r="K10">
        <v>0.6</v>
      </c>
      <c r="L10" s="1">
        <v>45471</v>
      </c>
      <c r="M10">
        <f t="shared" si="0"/>
        <v>28</v>
      </c>
      <c r="N10">
        <f t="shared" si="1"/>
        <v>23.4</v>
      </c>
    </row>
    <row r="11" spans="1:14" x14ac:dyDescent="0.2">
      <c r="A11" t="s">
        <v>30</v>
      </c>
      <c r="B11" s="1">
        <v>45306</v>
      </c>
      <c r="C11" t="s">
        <v>22</v>
      </c>
      <c r="D11">
        <v>2</v>
      </c>
      <c r="E11" s="1">
        <v>45466</v>
      </c>
      <c r="F11" t="s">
        <v>128</v>
      </c>
      <c r="G11">
        <v>0</v>
      </c>
      <c r="H11">
        <v>0</v>
      </c>
      <c r="I11">
        <v>207</v>
      </c>
      <c r="J11">
        <v>151</v>
      </c>
      <c r="K11">
        <v>0</v>
      </c>
      <c r="L11" s="1">
        <v>45471</v>
      </c>
      <c r="M11">
        <f t="shared" si="0"/>
        <v>56</v>
      </c>
      <c r="N11">
        <f t="shared" si="1"/>
        <v>56</v>
      </c>
    </row>
    <row r="12" spans="1:14" x14ac:dyDescent="0.2">
      <c r="A12" t="s">
        <v>31</v>
      </c>
      <c r="B12" s="1">
        <v>45342</v>
      </c>
      <c r="C12" t="s">
        <v>13</v>
      </c>
      <c r="D12">
        <v>1</v>
      </c>
      <c r="E12" s="1">
        <v>45381</v>
      </c>
      <c r="F12" t="s">
        <v>130</v>
      </c>
      <c r="G12">
        <v>100</v>
      </c>
      <c r="H12">
        <v>20</v>
      </c>
      <c r="I12">
        <v>786</v>
      </c>
      <c r="J12">
        <v>68</v>
      </c>
      <c r="K12">
        <v>3</v>
      </c>
      <c r="L12" s="1">
        <v>45394</v>
      </c>
      <c r="M12">
        <f t="shared" si="0"/>
        <v>718</v>
      </c>
      <c r="N12">
        <f t="shared" si="1"/>
        <v>695</v>
      </c>
    </row>
    <row r="13" spans="1:14" x14ac:dyDescent="0.2">
      <c r="A13" t="s">
        <v>32</v>
      </c>
      <c r="B13" s="1">
        <v>45352</v>
      </c>
      <c r="C13" t="s">
        <v>19</v>
      </c>
      <c r="D13">
        <v>3</v>
      </c>
      <c r="E13" s="1">
        <v>45492</v>
      </c>
      <c r="F13" t="s">
        <v>131</v>
      </c>
      <c r="G13">
        <v>0</v>
      </c>
      <c r="H13">
        <v>0</v>
      </c>
      <c r="I13">
        <v>503</v>
      </c>
      <c r="J13">
        <v>399</v>
      </c>
      <c r="K13">
        <v>0</v>
      </c>
      <c r="L13" s="1">
        <v>45502</v>
      </c>
      <c r="M13">
        <f t="shared" si="0"/>
        <v>104</v>
      </c>
      <c r="N13">
        <f t="shared" si="1"/>
        <v>104</v>
      </c>
    </row>
    <row r="14" spans="1:14" x14ac:dyDescent="0.2">
      <c r="A14" t="s">
        <v>33</v>
      </c>
      <c r="B14" s="1">
        <v>45347</v>
      </c>
      <c r="C14" t="s">
        <v>19</v>
      </c>
      <c r="D14">
        <v>3</v>
      </c>
      <c r="E14" s="1">
        <v>45479</v>
      </c>
      <c r="F14" t="s">
        <v>128</v>
      </c>
      <c r="G14">
        <v>200</v>
      </c>
      <c r="H14">
        <v>0</v>
      </c>
      <c r="I14">
        <v>974</v>
      </c>
      <c r="J14">
        <v>541</v>
      </c>
      <c r="K14">
        <v>6</v>
      </c>
      <c r="L14" s="1">
        <v>45508</v>
      </c>
      <c r="M14">
        <f t="shared" si="0"/>
        <v>433</v>
      </c>
      <c r="N14">
        <f t="shared" si="1"/>
        <v>427</v>
      </c>
    </row>
    <row r="15" spans="1:14" x14ac:dyDescent="0.2">
      <c r="A15" t="s">
        <v>15</v>
      </c>
      <c r="B15" s="1">
        <v>45468</v>
      </c>
      <c r="C15" t="s">
        <v>19</v>
      </c>
      <c r="D15">
        <v>3</v>
      </c>
      <c r="E15" s="1">
        <v>45607</v>
      </c>
      <c r="F15" t="s">
        <v>131</v>
      </c>
      <c r="G15">
        <v>20</v>
      </c>
      <c r="H15">
        <v>10</v>
      </c>
      <c r="I15">
        <v>495</v>
      </c>
      <c r="J15">
        <v>301</v>
      </c>
      <c r="K15">
        <v>0.6</v>
      </c>
      <c r="L15" s="1">
        <v>45632</v>
      </c>
      <c r="M15">
        <f t="shared" si="0"/>
        <v>194</v>
      </c>
      <c r="N15">
        <f t="shared" si="1"/>
        <v>183.4</v>
      </c>
    </row>
    <row r="16" spans="1:14" x14ac:dyDescent="0.2">
      <c r="A16" t="s">
        <v>34</v>
      </c>
      <c r="B16" s="1">
        <v>45304</v>
      </c>
      <c r="C16" t="s">
        <v>16</v>
      </c>
      <c r="D16">
        <v>1</v>
      </c>
      <c r="E16" s="1">
        <v>45460</v>
      </c>
      <c r="F16" t="s">
        <v>129</v>
      </c>
      <c r="G16">
        <v>20</v>
      </c>
      <c r="H16">
        <v>4</v>
      </c>
      <c r="I16">
        <v>636</v>
      </c>
      <c r="J16">
        <v>211</v>
      </c>
      <c r="K16">
        <v>0.6</v>
      </c>
      <c r="L16" s="1">
        <v>45483</v>
      </c>
      <c r="M16">
        <f t="shared" si="0"/>
        <v>425</v>
      </c>
      <c r="N16">
        <f t="shared" si="1"/>
        <v>420.4</v>
      </c>
    </row>
    <row r="17" spans="1:14" x14ac:dyDescent="0.2">
      <c r="A17" t="s">
        <v>35</v>
      </c>
      <c r="B17" s="1">
        <v>45347</v>
      </c>
      <c r="C17" t="s">
        <v>13</v>
      </c>
      <c r="D17">
        <v>1</v>
      </c>
      <c r="E17" s="1">
        <v>45367</v>
      </c>
      <c r="F17" t="s">
        <v>131</v>
      </c>
      <c r="G17">
        <v>500</v>
      </c>
      <c r="H17">
        <v>0</v>
      </c>
      <c r="I17">
        <v>946</v>
      </c>
      <c r="J17">
        <v>196</v>
      </c>
      <c r="K17">
        <v>15</v>
      </c>
      <c r="L17" s="1">
        <v>45376</v>
      </c>
      <c r="M17">
        <f t="shared" si="0"/>
        <v>750</v>
      </c>
      <c r="N17">
        <f t="shared" si="1"/>
        <v>735</v>
      </c>
    </row>
    <row r="18" spans="1:14" x14ac:dyDescent="0.2">
      <c r="A18" t="s">
        <v>18</v>
      </c>
      <c r="B18" s="1">
        <v>45431</v>
      </c>
      <c r="C18" t="s">
        <v>26</v>
      </c>
      <c r="D18">
        <v>1</v>
      </c>
      <c r="E18" s="1">
        <v>45545</v>
      </c>
      <c r="F18" t="s">
        <v>129</v>
      </c>
      <c r="G18">
        <v>500</v>
      </c>
      <c r="H18">
        <v>250</v>
      </c>
      <c r="I18">
        <v>478</v>
      </c>
      <c r="J18">
        <v>350</v>
      </c>
      <c r="K18">
        <v>15</v>
      </c>
      <c r="L18" s="1">
        <v>45574</v>
      </c>
      <c r="M18">
        <f t="shared" si="0"/>
        <v>128</v>
      </c>
      <c r="N18">
        <f t="shared" si="1"/>
        <v>-137</v>
      </c>
    </row>
    <row r="19" spans="1:14" x14ac:dyDescent="0.2">
      <c r="A19" t="s">
        <v>36</v>
      </c>
      <c r="B19" s="1">
        <v>45470</v>
      </c>
      <c r="C19" t="s">
        <v>13</v>
      </c>
      <c r="D19">
        <v>3</v>
      </c>
      <c r="E19" s="1">
        <v>45604</v>
      </c>
      <c r="F19" t="s">
        <v>128</v>
      </c>
      <c r="G19">
        <v>100</v>
      </c>
      <c r="H19">
        <v>20</v>
      </c>
      <c r="I19">
        <v>706</v>
      </c>
      <c r="J19">
        <v>157</v>
      </c>
      <c r="K19">
        <v>3</v>
      </c>
      <c r="L19" s="1">
        <v>45606</v>
      </c>
      <c r="M19">
        <f t="shared" si="0"/>
        <v>549</v>
      </c>
      <c r="N19">
        <f t="shared" si="1"/>
        <v>526</v>
      </c>
    </row>
    <row r="20" spans="1:14" x14ac:dyDescent="0.2">
      <c r="A20" t="s">
        <v>37</v>
      </c>
      <c r="B20" s="1">
        <v>45469</v>
      </c>
      <c r="C20" t="s">
        <v>26</v>
      </c>
      <c r="D20">
        <v>2</v>
      </c>
      <c r="E20" s="1">
        <v>45540</v>
      </c>
      <c r="F20" t="s">
        <v>128</v>
      </c>
      <c r="G20">
        <v>20</v>
      </c>
      <c r="H20">
        <v>4</v>
      </c>
      <c r="I20">
        <v>367</v>
      </c>
      <c r="J20">
        <v>223</v>
      </c>
      <c r="K20">
        <v>0.6</v>
      </c>
      <c r="L20" s="1">
        <v>45566</v>
      </c>
      <c r="M20">
        <f t="shared" si="0"/>
        <v>144</v>
      </c>
      <c r="N20">
        <f t="shared" si="1"/>
        <v>139.4</v>
      </c>
    </row>
    <row r="21" spans="1:14" x14ac:dyDescent="0.2">
      <c r="A21" t="s">
        <v>18</v>
      </c>
      <c r="B21" s="1">
        <v>45311</v>
      </c>
      <c r="C21" t="s">
        <v>13</v>
      </c>
      <c r="D21">
        <v>3</v>
      </c>
      <c r="E21" s="1">
        <v>45427</v>
      </c>
      <c r="F21" t="s">
        <v>128</v>
      </c>
      <c r="G21">
        <v>0</v>
      </c>
      <c r="H21">
        <v>0</v>
      </c>
      <c r="I21">
        <v>821</v>
      </c>
      <c r="J21">
        <v>479</v>
      </c>
      <c r="K21">
        <v>0</v>
      </c>
      <c r="L21" s="1">
        <v>45457</v>
      </c>
      <c r="M21">
        <f t="shared" si="0"/>
        <v>342</v>
      </c>
      <c r="N21">
        <f t="shared" si="1"/>
        <v>342</v>
      </c>
    </row>
    <row r="22" spans="1:14" x14ac:dyDescent="0.2">
      <c r="A22" t="s">
        <v>38</v>
      </c>
      <c r="B22" s="1">
        <v>45304</v>
      </c>
      <c r="C22" t="s">
        <v>16</v>
      </c>
      <c r="D22">
        <v>2</v>
      </c>
      <c r="E22" s="1">
        <v>45372</v>
      </c>
      <c r="F22" t="s">
        <v>129</v>
      </c>
      <c r="G22">
        <v>200</v>
      </c>
      <c r="H22">
        <v>0</v>
      </c>
      <c r="I22">
        <v>862</v>
      </c>
      <c r="J22">
        <v>648</v>
      </c>
      <c r="K22">
        <v>6</v>
      </c>
      <c r="L22" s="1">
        <v>45376</v>
      </c>
      <c r="M22">
        <f t="shared" si="0"/>
        <v>214</v>
      </c>
      <c r="N22">
        <f t="shared" si="1"/>
        <v>208</v>
      </c>
    </row>
    <row r="23" spans="1:14" x14ac:dyDescent="0.2">
      <c r="A23" t="s">
        <v>39</v>
      </c>
      <c r="B23" s="1">
        <v>45467</v>
      </c>
      <c r="C23" t="s">
        <v>22</v>
      </c>
      <c r="D23">
        <v>1</v>
      </c>
      <c r="E23" s="1">
        <v>45538</v>
      </c>
      <c r="F23" t="s">
        <v>130</v>
      </c>
      <c r="G23">
        <v>100</v>
      </c>
      <c r="H23">
        <v>0</v>
      </c>
      <c r="I23">
        <v>184</v>
      </c>
      <c r="J23">
        <v>114</v>
      </c>
      <c r="K23">
        <v>3</v>
      </c>
      <c r="L23" s="1">
        <v>45565</v>
      </c>
      <c r="M23">
        <f t="shared" si="0"/>
        <v>70</v>
      </c>
      <c r="N23">
        <f t="shared" si="1"/>
        <v>67</v>
      </c>
    </row>
    <row r="24" spans="1:14" x14ac:dyDescent="0.2">
      <c r="A24" t="s">
        <v>34</v>
      </c>
      <c r="B24" s="1">
        <v>45320</v>
      </c>
      <c r="C24" t="s">
        <v>19</v>
      </c>
      <c r="D24">
        <v>1</v>
      </c>
      <c r="E24" s="1">
        <v>45447</v>
      </c>
      <c r="F24" t="s">
        <v>129</v>
      </c>
      <c r="G24">
        <v>20</v>
      </c>
      <c r="H24">
        <v>0</v>
      </c>
      <c r="I24">
        <v>686</v>
      </c>
      <c r="J24">
        <v>143</v>
      </c>
      <c r="K24">
        <v>0.6</v>
      </c>
      <c r="L24" s="1">
        <v>45466</v>
      </c>
      <c r="M24">
        <f t="shared" si="0"/>
        <v>543</v>
      </c>
      <c r="N24">
        <f t="shared" si="1"/>
        <v>542.4</v>
      </c>
    </row>
    <row r="25" spans="1:14" x14ac:dyDescent="0.2">
      <c r="A25" t="s">
        <v>40</v>
      </c>
      <c r="B25" s="1">
        <v>45371</v>
      </c>
      <c r="C25" t="s">
        <v>16</v>
      </c>
      <c r="D25">
        <v>3</v>
      </c>
      <c r="E25" s="1">
        <v>45381</v>
      </c>
      <c r="F25" t="s">
        <v>131</v>
      </c>
      <c r="G25">
        <v>200</v>
      </c>
      <c r="H25">
        <v>40</v>
      </c>
      <c r="I25">
        <v>965</v>
      </c>
      <c r="J25">
        <v>893</v>
      </c>
      <c r="K25">
        <v>6</v>
      </c>
      <c r="L25" s="1">
        <v>45386</v>
      </c>
      <c r="M25">
        <f t="shared" si="0"/>
        <v>72</v>
      </c>
      <c r="N25">
        <f t="shared" si="1"/>
        <v>26</v>
      </c>
    </row>
    <row r="26" spans="1:14" x14ac:dyDescent="0.2">
      <c r="A26" t="s">
        <v>41</v>
      </c>
      <c r="B26" s="1">
        <v>45431</v>
      </c>
      <c r="C26" t="s">
        <v>16</v>
      </c>
      <c r="D26">
        <v>3</v>
      </c>
      <c r="E26" s="1">
        <v>45531</v>
      </c>
      <c r="F26" t="s">
        <v>128</v>
      </c>
      <c r="G26">
        <v>50</v>
      </c>
      <c r="H26">
        <v>0</v>
      </c>
      <c r="I26">
        <v>752</v>
      </c>
      <c r="J26">
        <v>244</v>
      </c>
      <c r="K26">
        <v>1.5</v>
      </c>
      <c r="L26" s="1">
        <v>45549</v>
      </c>
      <c r="M26">
        <f t="shared" si="0"/>
        <v>508</v>
      </c>
      <c r="N26">
        <f t="shared" si="1"/>
        <v>506.5</v>
      </c>
    </row>
    <row r="27" spans="1:14" x14ac:dyDescent="0.2">
      <c r="A27" t="s">
        <v>42</v>
      </c>
      <c r="B27" s="1">
        <v>45295</v>
      </c>
      <c r="C27" t="s">
        <v>13</v>
      </c>
      <c r="D27">
        <v>2</v>
      </c>
      <c r="E27" s="1">
        <v>45437</v>
      </c>
      <c r="F27" t="s">
        <v>130</v>
      </c>
      <c r="G27">
        <v>50</v>
      </c>
      <c r="H27">
        <v>10</v>
      </c>
      <c r="I27">
        <v>748</v>
      </c>
      <c r="J27">
        <v>116</v>
      </c>
      <c r="K27">
        <v>1.5</v>
      </c>
      <c r="L27" s="1">
        <v>45443</v>
      </c>
      <c r="M27">
        <f t="shared" si="0"/>
        <v>632</v>
      </c>
      <c r="N27">
        <f t="shared" si="1"/>
        <v>620.5</v>
      </c>
    </row>
    <row r="28" spans="1:14" x14ac:dyDescent="0.2">
      <c r="A28" t="s">
        <v>27</v>
      </c>
      <c r="B28" s="1">
        <v>45395</v>
      </c>
      <c r="C28" t="s">
        <v>22</v>
      </c>
      <c r="D28">
        <v>2</v>
      </c>
      <c r="E28" s="1">
        <v>45408</v>
      </c>
      <c r="F28" t="s">
        <v>128</v>
      </c>
      <c r="G28">
        <v>200</v>
      </c>
      <c r="H28">
        <v>40</v>
      </c>
      <c r="I28">
        <v>819</v>
      </c>
      <c r="J28">
        <v>502</v>
      </c>
      <c r="K28">
        <v>6</v>
      </c>
      <c r="L28" s="1">
        <v>45421</v>
      </c>
      <c r="M28">
        <f t="shared" si="0"/>
        <v>317</v>
      </c>
      <c r="N28">
        <f t="shared" si="1"/>
        <v>271</v>
      </c>
    </row>
    <row r="29" spans="1:14" x14ac:dyDescent="0.2">
      <c r="A29" t="s">
        <v>24</v>
      </c>
      <c r="B29" s="1">
        <v>45366</v>
      </c>
      <c r="C29" t="s">
        <v>16</v>
      </c>
      <c r="D29">
        <v>2</v>
      </c>
      <c r="E29" s="1">
        <v>45397</v>
      </c>
      <c r="F29" t="s">
        <v>128</v>
      </c>
      <c r="G29">
        <v>500</v>
      </c>
      <c r="H29">
        <v>0</v>
      </c>
      <c r="I29">
        <v>892</v>
      </c>
      <c r="J29">
        <v>576</v>
      </c>
      <c r="K29">
        <v>15</v>
      </c>
      <c r="L29" s="1">
        <v>45426</v>
      </c>
      <c r="M29">
        <f t="shared" si="0"/>
        <v>316</v>
      </c>
      <c r="N29">
        <f t="shared" si="1"/>
        <v>301</v>
      </c>
    </row>
    <row r="30" spans="1:14" x14ac:dyDescent="0.2">
      <c r="A30" t="s">
        <v>37</v>
      </c>
      <c r="B30" s="1">
        <v>45346</v>
      </c>
      <c r="C30" t="s">
        <v>16</v>
      </c>
      <c r="D30">
        <v>3</v>
      </c>
      <c r="E30" s="1">
        <v>45441</v>
      </c>
      <c r="F30" t="s">
        <v>131</v>
      </c>
      <c r="G30">
        <v>20</v>
      </c>
      <c r="H30">
        <v>10</v>
      </c>
      <c r="I30">
        <v>474</v>
      </c>
      <c r="J30">
        <v>422</v>
      </c>
      <c r="K30">
        <v>0.6</v>
      </c>
      <c r="L30" s="1">
        <v>45469</v>
      </c>
      <c r="M30">
        <f t="shared" si="0"/>
        <v>52</v>
      </c>
      <c r="N30">
        <f t="shared" si="1"/>
        <v>41.4</v>
      </c>
    </row>
    <row r="31" spans="1:14" x14ac:dyDescent="0.2">
      <c r="A31" t="s">
        <v>43</v>
      </c>
      <c r="B31" s="1">
        <v>45418</v>
      </c>
      <c r="C31" t="s">
        <v>26</v>
      </c>
      <c r="D31">
        <v>2</v>
      </c>
      <c r="E31" s="1">
        <v>45427</v>
      </c>
      <c r="F31" t="s">
        <v>130</v>
      </c>
      <c r="G31">
        <v>0</v>
      </c>
      <c r="H31">
        <v>0</v>
      </c>
      <c r="I31">
        <v>197</v>
      </c>
      <c r="J31">
        <v>114</v>
      </c>
      <c r="K31">
        <v>0</v>
      </c>
      <c r="L31" s="1">
        <v>45437</v>
      </c>
      <c r="M31">
        <f t="shared" si="0"/>
        <v>83</v>
      </c>
      <c r="N31">
        <f t="shared" si="1"/>
        <v>83</v>
      </c>
    </row>
    <row r="32" spans="1:14" x14ac:dyDescent="0.2">
      <c r="A32" t="s">
        <v>44</v>
      </c>
      <c r="B32" s="1">
        <v>45438</v>
      </c>
      <c r="C32" t="s">
        <v>13</v>
      </c>
      <c r="D32">
        <v>3</v>
      </c>
      <c r="E32" s="1">
        <v>45555</v>
      </c>
      <c r="F32" t="s">
        <v>129</v>
      </c>
      <c r="G32">
        <v>20</v>
      </c>
      <c r="H32">
        <v>10</v>
      </c>
      <c r="I32">
        <v>345</v>
      </c>
      <c r="J32">
        <v>32</v>
      </c>
      <c r="K32">
        <v>0.6</v>
      </c>
      <c r="L32" s="1">
        <v>45572</v>
      </c>
      <c r="M32">
        <f t="shared" si="0"/>
        <v>313</v>
      </c>
      <c r="N32">
        <f t="shared" si="1"/>
        <v>302.39999999999998</v>
      </c>
    </row>
    <row r="33" spans="1:14" x14ac:dyDescent="0.2">
      <c r="A33" t="s">
        <v>45</v>
      </c>
      <c r="B33" s="1">
        <v>45412</v>
      </c>
      <c r="C33" t="s">
        <v>19</v>
      </c>
      <c r="D33">
        <v>3</v>
      </c>
      <c r="E33" s="1">
        <v>45555</v>
      </c>
      <c r="F33" t="s">
        <v>129</v>
      </c>
      <c r="G33">
        <v>200</v>
      </c>
      <c r="H33">
        <v>0</v>
      </c>
      <c r="I33">
        <v>148</v>
      </c>
      <c r="J33">
        <v>138</v>
      </c>
      <c r="K33">
        <v>6</v>
      </c>
      <c r="L33" s="1">
        <v>45572</v>
      </c>
      <c r="M33">
        <f t="shared" si="0"/>
        <v>10</v>
      </c>
      <c r="N33">
        <f t="shared" si="1"/>
        <v>4</v>
      </c>
    </row>
    <row r="34" spans="1:14" x14ac:dyDescent="0.2">
      <c r="A34" t="s">
        <v>46</v>
      </c>
      <c r="B34" s="1">
        <v>45457</v>
      </c>
      <c r="C34" t="s">
        <v>22</v>
      </c>
      <c r="D34">
        <v>2</v>
      </c>
      <c r="E34" s="1">
        <v>45482</v>
      </c>
      <c r="F34" t="s">
        <v>130</v>
      </c>
      <c r="G34">
        <v>200</v>
      </c>
      <c r="H34">
        <v>100</v>
      </c>
      <c r="I34">
        <v>302</v>
      </c>
      <c r="J34">
        <v>18</v>
      </c>
      <c r="K34">
        <v>6</v>
      </c>
      <c r="L34" s="1">
        <v>45485</v>
      </c>
      <c r="M34">
        <f t="shared" si="0"/>
        <v>284</v>
      </c>
      <c r="N34">
        <f t="shared" si="1"/>
        <v>178</v>
      </c>
    </row>
    <row r="35" spans="1:14" x14ac:dyDescent="0.2">
      <c r="A35" t="s">
        <v>40</v>
      </c>
      <c r="B35" s="1">
        <v>45316</v>
      </c>
      <c r="C35" t="s">
        <v>19</v>
      </c>
      <c r="D35">
        <v>1</v>
      </c>
      <c r="E35" s="1">
        <v>45466</v>
      </c>
      <c r="F35" t="s">
        <v>131</v>
      </c>
      <c r="G35">
        <v>0</v>
      </c>
      <c r="H35">
        <v>0</v>
      </c>
      <c r="I35">
        <v>624</v>
      </c>
      <c r="J35">
        <v>141</v>
      </c>
      <c r="K35">
        <v>0</v>
      </c>
      <c r="L35" s="1">
        <v>45470</v>
      </c>
      <c r="M35">
        <f t="shared" si="0"/>
        <v>483</v>
      </c>
      <c r="N35">
        <f t="shared" si="1"/>
        <v>483</v>
      </c>
    </row>
    <row r="36" spans="1:14" x14ac:dyDescent="0.2">
      <c r="A36" t="s">
        <v>47</v>
      </c>
      <c r="B36" s="1">
        <v>45360</v>
      </c>
      <c r="C36" t="s">
        <v>13</v>
      </c>
      <c r="D36">
        <v>2</v>
      </c>
      <c r="E36" s="1">
        <v>45422</v>
      </c>
      <c r="F36" t="s">
        <v>129</v>
      </c>
      <c r="G36">
        <v>200</v>
      </c>
      <c r="H36">
        <v>100</v>
      </c>
      <c r="I36">
        <v>902</v>
      </c>
      <c r="J36">
        <v>645</v>
      </c>
      <c r="K36">
        <v>6</v>
      </c>
      <c r="L36" s="1">
        <v>45426</v>
      </c>
      <c r="M36">
        <f t="shared" si="0"/>
        <v>257</v>
      </c>
      <c r="N36">
        <f t="shared" si="1"/>
        <v>151</v>
      </c>
    </row>
    <row r="37" spans="1:14" x14ac:dyDescent="0.2">
      <c r="A37" t="s">
        <v>48</v>
      </c>
      <c r="B37" s="1">
        <v>45363</v>
      </c>
      <c r="C37" t="s">
        <v>26</v>
      </c>
      <c r="D37">
        <v>3</v>
      </c>
      <c r="E37" s="1">
        <v>45473</v>
      </c>
      <c r="F37" t="s">
        <v>128</v>
      </c>
      <c r="G37">
        <v>100</v>
      </c>
      <c r="H37">
        <v>0</v>
      </c>
      <c r="I37">
        <v>92</v>
      </c>
      <c r="J37">
        <v>58</v>
      </c>
      <c r="K37">
        <v>3</v>
      </c>
      <c r="L37" s="1">
        <v>45479</v>
      </c>
      <c r="M37">
        <f t="shared" si="0"/>
        <v>34</v>
      </c>
      <c r="N37">
        <f t="shared" si="1"/>
        <v>31</v>
      </c>
    </row>
    <row r="38" spans="1:14" x14ac:dyDescent="0.2">
      <c r="A38" t="s">
        <v>40</v>
      </c>
      <c r="B38" s="1">
        <v>45358</v>
      </c>
      <c r="C38" t="s">
        <v>19</v>
      </c>
      <c r="D38">
        <v>3</v>
      </c>
      <c r="E38" s="1">
        <v>45487</v>
      </c>
      <c r="F38" t="s">
        <v>130</v>
      </c>
      <c r="G38">
        <v>20</v>
      </c>
      <c r="H38">
        <v>4</v>
      </c>
      <c r="I38">
        <v>73</v>
      </c>
      <c r="J38">
        <v>41</v>
      </c>
      <c r="K38">
        <v>0.6</v>
      </c>
      <c r="L38" s="1">
        <v>45517</v>
      </c>
      <c r="M38">
        <f t="shared" si="0"/>
        <v>32</v>
      </c>
      <c r="N38">
        <f t="shared" si="1"/>
        <v>27.4</v>
      </c>
    </row>
    <row r="39" spans="1:14" x14ac:dyDescent="0.2">
      <c r="A39" t="s">
        <v>24</v>
      </c>
      <c r="B39" s="1">
        <v>45304</v>
      </c>
      <c r="C39" t="s">
        <v>19</v>
      </c>
      <c r="D39">
        <v>2</v>
      </c>
      <c r="E39" s="1">
        <v>45343</v>
      </c>
      <c r="F39" t="s">
        <v>129</v>
      </c>
      <c r="G39">
        <v>0</v>
      </c>
      <c r="H39">
        <v>0</v>
      </c>
      <c r="I39">
        <v>384</v>
      </c>
      <c r="J39">
        <v>227</v>
      </c>
      <c r="K39">
        <v>0</v>
      </c>
      <c r="L39" s="1">
        <v>45373</v>
      </c>
      <c r="M39">
        <f t="shared" si="0"/>
        <v>157</v>
      </c>
      <c r="N39">
        <f t="shared" si="1"/>
        <v>157</v>
      </c>
    </row>
    <row r="40" spans="1:14" x14ac:dyDescent="0.2">
      <c r="A40" t="s">
        <v>39</v>
      </c>
      <c r="B40" s="1">
        <v>45316</v>
      </c>
      <c r="C40" t="s">
        <v>22</v>
      </c>
      <c r="D40">
        <v>1</v>
      </c>
      <c r="E40" s="1">
        <v>45476</v>
      </c>
      <c r="F40" t="s">
        <v>129</v>
      </c>
      <c r="G40">
        <v>500</v>
      </c>
      <c r="H40">
        <v>250</v>
      </c>
      <c r="I40">
        <v>157</v>
      </c>
      <c r="J40">
        <v>55</v>
      </c>
      <c r="K40">
        <v>15</v>
      </c>
      <c r="L40" s="1">
        <v>45477</v>
      </c>
      <c r="M40">
        <f t="shared" si="0"/>
        <v>102</v>
      </c>
      <c r="N40">
        <f t="shared" si="1"/>
        <v>-163</v>
      </c>
    </row>
    <row r="41" spans="1:14" x14ac:dyDescent="0.2">
      <c r="A41" t="s">
        <v>49</v>
      </c>
      <c r="B41" s="1">
        <v>45315</v>
      </c>
      <c r="C41" t="s">
        <v>22</v>
      </c>
      <c r="D41">
        <v>3</v>
      </c>
      <c r="E41" s="1">
        <v>45485</v>
      </c>
      <c r="F41" t="s">
        <v>129</v>
      </c>
      <c r="G41">
        <v>200</v>
      </c>
      <c r="H41">
        <v>0</v>
      </c>
      <c r="I41">
        <v>670</v>
      </c>
      <c r="J41">
        <v>527</v>
      </c>
      <c r="K41">
        <v>6</v>
      </c>
      <c r="L41" s="1">
        <v>45489</v>
      </c>
      <c r="M41">
        <f t="shared" si="0"/>
        <v>143</v>
      </c>
      <c r="N41">
        <f t="shared" si="1"/>
        <v>137</v>
      </c>
    </row>
    <row r="42" spans="1:14" x14ac:dyDescent="0.2">
      <c r="A42" t="s">
        <v>42</v>
      </c>
      <c r="B42" s="1">
        <v>45338</v>
      </c>
      <c r="C42" t="s">
        <v>19</v>
      </c>
      <c r="D42">
        <v>2</v>
      </c>
      <c r="E42" s="1">
        <v>45391</v>
      </c>
      <c r="F42" t="s">
        <v>129</v>
      </c>
      <c r="G42">
        <v>100</v>
      </c>
      <c r="H42">
        <v>20</v>
      </c>
      <c r="I42">
        <v>787</v>
      </c>
      <c r="J42">
        <v>61</v>
      </c>
      <c r="K42">
        <v>3</v>
      </c>
      <c r="L42" s="1">
        <v>45392</v>
      </c>
      <c r="M42">
        <f t="shared" si="0"/>
        <v>726</v>
      </c>
      <c r="N42">
        <f t="shared" si="1"/>
        <v>703</v>
      </c>
    </row>
    <row r="43" spans="1:14" x14ac:dyDescent="0.2">
      <c r="A43" t="s">
        <v>50</v>
      </c>
      <c r="B43" s="1">
        <v>45348</v>
      </c>
      <c r="C43" t="s">
        <v>19</v>
      </c>
      <c r="D43">
        <v>3</v>
      </c>
      <c r="E43" s="1">
        <v>45482</v>
      </c>
      <c r="F43" t="s">
        <v>131</v>
      </c>
      <c r="G43">
        <v>200</v>
      </c>
      <c r="H43">
        <v>100</v>
      </c>
      <c r="I43">
        <v>462</v>
      </c>
      <c r="J43">
        <v>294</v>
      </c>
      <c r="K43">
        <v>6</v>
      </c>
      <c r="L43" s="1">
        <v>45503</v>
      </c>
      <c r="M43">
        <f t="shared" si="0"/>
        <v>168</v>
      </c>
      <c r="N43">
        <f t="shared" si="1"/>
        <v>62</v>
      </c>
    </row>
    <row r="44" spans="1:14" x14ac:dyDescent="0.2">
      <c r="A44" t="s">
        <v>36</v>
      </c>
      <c r="B44" s="1">
        <v>45452</v>
      </c>
      <c r="C44" t="s">
        <v>26</v>
      </c>
      <c r="D44">
        <v>3</v>
      </c>
      <c r="E44" s="1">
        <v>45571</v>
      </c>
      <c r="F44" t="s">
        <v>129</v>
      </c>
      <c r="G44">
        <v>100</v>
      </c>
      <c r="H44">
        <v>0</v>
      </c>
      <c r="I44">
        <v>767</v>
      </c>
      <c r="J44">
        <v>58</v>
      </c>
      <c r="K44">
        <v>3</v>
      </c>
      <c r="L44" s="1">
        <v>45574</v>
      </c>
      <c r="M44">
        <f t="shared" si="0"/>
        <v>709</v>
      </c>
      <c r="N44">
        <f t="shared" si="1"/>
        <v>706</v>
      </c>
    </row>
    <row r="45" spans="1:14" x14ac:dyDescent="0.2">
      <c r="A45" t="s">
        <v>51</v>
      </c>
      <c r="B45" s="1">
        <v>45391</v>
      </c>
      <c r="C45" t="s">
        <v>13</v>
      </c>
      <c r="D45">
        <v>2</v>
      </c>
      <c r="E45" s="1">
        <v>45403</v>
      </c>
      <c r="F45" t="s">
        <v>130</v>
      </c>
      <c r="G45">
        <v>500</v>
      </c>
      <c r="H45">
        <v>250</v>
      </c>
      <c r="I45">
        <v>424</v>
      </c>
      <c r="J45">
        <v>362</v>
      </c>
      <c r="K45">
        <v>15</v>
      </c>
      <c r="L45" s="1">
        <v>45414</v>
      </c>
      <c r="M45">
        <f t="shared" si="0"/>
        <v>62</v>
      </c>
      <c r="N45">
        <f t="shared" si="1"/>
        <v>-203</v>
      </c>
    </row>
    <row r="46" spans="1:14" x14ac:dyDescent="0.2">
      <c r="A46" t="s">
        <v>52</v>
      </c>
      <c r="B46" s="1">
        <v>45325</v>
      </c>
      <c r="C46" t="s">
        <v>16</v>
      </c>
      <c r="D46">
        <v>2</v>
      </c>
      <c r="E46" s="1">
        <v>45329</v>
      </c>
      <c r="F46" t="s">
        <v>130</v>
      </c>
      <c r="G46">
        <v>500</v>
      </c>
      <c r="H46">
        <v>100</v>
      </c>
      <c r="I46">
        <v>119</v>
      </c>
      <c r="J46">
        <v>69</v>
      </c>
      <c r="K46">
        <v>15</v>
      </c>
      <c r="L46" s="1">
        <v>45334</v>
      </c>
      <c r="M46">
        <f t="shared" si="0"/>
        <v>50</v>
      </c>
      <c r="N46">
        <f t="shared" si="1"/>
        <v>-65</v>
      </c>
    </row>
    <row r="47" spans="1:14" x14ac:dyDescent="0.2">
      <c r="A47" t="s">
        <v>24</v>
      </c>
      <c r="B47" s="1">
        <v>45449</v>
      </c>
      <c r="C47" t="s">
        <v>13</v>
      </c>
      <c r="D47">
        <v>2</v>
      </c>
      <c r="E47" s="1">
        <v>45618</v>
      </c>
      <c r="F47" t="s">
        <v>129</v>
      </c>
      <c r="G47">
        <v>50</v>
      </c>
      <c r="H47">
        <v>0</v>
      </c>
      <c r="I47">
        <v>939</v>
      </c>
      <c r="J47">
        <v>137</v>
      </c>
      <c r="K47">
        <v>1.5</v>
      </c>
      <c r="L47" s="1">
        <v>45642</v>
      </c>
      <c r="M47">
        <f t="shared" si="0"/>
        <v>802</v>
      </c>
      <c r="N47">
        <f t="shared" si="1"/>
        <v>800.5</v>
      </c>
    </row>
    <row r="48" spans="1:14" x14ac:dyDescent="0.2">
      <c r="A48" t="s">
        <v>53</v>
      </c>
      <c r="B48" s="1">
        <v>45320</v>
      </c>
      <c r="C48" t="s">
        <v>13</v>
      </c>
      <c r="D48">
        <v>3</v>
      </c>
      <c r="E48" s="1">
        <v>45384</v>
      </c>
      <c r="F48" t="s">
        <v>128</v>
      </c>
      <c r="G48">
        <v>200</v>
      </c>
      <c r="H48">
        <v>100</v>
      </c>
      <c r="I48">
        <v>534</v>
      </c>
      <c r="J48">
        <v>137</v>
      </c>
      <c r="K48">
        <v>6</v>
      </c>
      <c r="L48" s="1">
        <v>45403</v>
      </c>
      <c r="M48">
        <f t="shared" si="0"/>
        <v>397</v>
      </c>
      <c r="N48">
        <f t="shared" si="1"/>
        <v>291</v>
      </c>
    </row>
    <row r="49" spans="1:14" x14ac:dyDescent="0.2">
      <c r="A49" t="s">
        <v>54</v>
      </c>
      <c r="B49" s="1">
        <v>45310</v>
      </c>
      <c r="C49" t="s">
        <v>16</v>
      </c>
      <c r="D49">
        <v>2</v>
      </c>
      <c r="E49" s="1">
        <v>45444</v>
      </c>
      <c r="F49" t="s">
        <v>129</v>
      </c>
      <c r="G49">
        <v>100</v>
      </c>
      <c r="H49">
        <v>0</v>
      </c>
      <c r="I49">
        <v>131</v>
      </c>
      <c r="J49">
        <v>50</v>
      </c>
      <c r="K49">
        <v>3</v>
      </c>
      <c r="L49" s="1">
        <v>45465</v>
      </c>
      <c r="M49">
        <f t="shared" si="0"/>
        <v>81</v>
      </c>
      <c r="N49">
        <f t="shared" si="1"/>
        <v>78</v>
      </c>
    </row>
    <row r="50" spans="1:14" x14ac:dyDescent="0.2">
      <c r="A50" t="s">
        <v>55</v>
      </c>
      <c r="B50" s="1">
        <v>45375</v>
      </c>
      <c r="C50" t="s">
        <v>19</v>
      </c>
      <c r="D50">
        <v>2</v>
      </c>
      <c r="E50" s="1">
        <v>45413</v>
      </c>
      <c r="F50" t="s">
        <v>129</v>
      </c>
      <c r="G50">
        <v>50</v>
      </c>
      <c r="H50">
        <v>25</v>
      </c>
      <c r="I50">
        <v>94</v>
      </c>
      <c r="J50">
        <v>76</v>
      </c>
      <c r="K50">
        <v>1.5</v>
      </c>
      <c r="L50" s="1">
        <v>45414</v>
      </c>
      <c r="M50">
        <f t="shared" si="0"/>
        <v>18</v>
      </c>
      <c r="N50">
        <f t="shared" si="1"/>
        <v>-8.5</v>
      </c>
    </row>
    <row r="51" spans="1:14" x14ac:dyDescent="0.2">
      <c r="A51" t="s">
        <v>55</v>
      </c>
      <c r="B51" s="1">
        <v>45398</v>
      </c>
      <c r="C51" t="s">
        <v>26</v>
      </c>
      <c r="D51">
        <v>2</v>
      </c>
      <c r="E51" s="1">
        <v>45550</v>
      </c>
      <c r="F51" t="s">
        <v>130</v>
      </c>
      <c r="G51">
        <v>20</v>
      </c>
      <c r="H51">
        <v>0</v>
      </c>
      <c r="I51">
        <v>76</v>
      </c>
      <c r="J51">
        <v>55</v>
      </c>
      <c r="K51">
        <v>0.6</v>
      </c>
      <c r="L51" s="1">
        <v>45569</v>
      </c>
      <c r="M51">
        <f t="shared" si="0"/>
        <v>21</v>
      </c>
      <c r="N51">
        <f t="shared" si="1"/>
        <v>20.399999999999999</v>
      </c>
    </row>
    <row r="52" spans="1:14" x14ac:dyDescent="0.2">
      <c r="A52" t="s">
        <v>56</v>
      </c>
      <c r="B52" s="1">
        <v>45324</v>
      </c>
      <c r="C52" t="s">
        <v>16</v>
      </c>
      <c r="D52">
        <v>3</v>
      </c>
      <c r="E52" s="1">
        <v>45356</v>
      </c>
      <c r="F52" t="s">
        <v>129</v>
      </c>
      <c r="G52">
        <v>50</v>
      </c>
      <c r="H52">
        <v>25</v>
      </c>
      <c r="I52">
        <v>672</v>
      </c>
      <c r="J52">
        <v>637</v>
      </c>
      <c r="K52">
        <v>1.5</v>
      </c>
      <c r="L52" s="1">
        <v>45360</v>
      </c>
      <c r="M52">
        <f t="shared" si="0"/>
        <v>35</v>
      </c>
      <c r="N52">
        <f t="shared" si="1"/>
        <v>8.5</v>
      </c>
    </row>
    <row r="53" spans="1:14" x14ac:dyDescent="0.2">
      <c r="A53" t="s">
        <v>57</v>
      </c>
      <c r="B53" s="1">
        <v>45395</v>
      </c>
      <c r="C53" t="s">
        <v>16</v>
      </c>
      <c r="D53">
        <v>3</v>
      </c>
      <c r="E53" s="1">
        <v>45541</v>
      </c>
      <c r="F53" t="s">
        <v>129</v>
      </c>
      <c r="G53">
        <v>0</v>
      </c>
      <c r="H53">
        <v>0</v>
      </c>
      <c r="I53">
        <v>327</v>
      </c>
      <c r="J53">
        <v>326</v>
      </c>
      <c r="K53">
        <v>0</v>
      </c>
      <c r="L53" s="1">
        <v>45559</v>
      </c>
      <c r="M53">
        <f t="shared" si="0"/>
        <v>1</v>
      </c>
      <c r="N53">
        <f t="shared" si="1"/>
        <v>1</v>
      </c>
    </row>
    <row r="54" spans="1:14" x14ac:dyDescent="0.2">
      <c r="A54" t="s">
        <v>31</v>
      </c>
      <c r="B54" s="1">
        <v>45405</v>
      </c>
      <c r="C54" t="s">
        <v>22</v>
      </c>
      <c r="D54">
        <v>3</v>
      </c>
      <c r="E54" s="1">
        <v>45508</v>
      </c>
      <c r="F54" t="s">
        <v>130</v>
      </c>
      <c r="G54">
        <v>50</v>
      </c>
      <c r="H54">
        <v>25</v>
      </c>
      <c r="I54">
        <v>224</v>
      </c>
      <c r="J54">
        <v>61</v>
      </c>
      <c r="K54">
        <v>1.5</v>
      </c>
      <c r="L54" s="1">
        <v>45510</v>
      </c>
      <c r="M54">
        <f t="shared" si="0"/>
        <v>163</v>
      </c>
      <c r="N54">
        <f t="shared" si="1"/>
        <v>136.5</v>
      </c>
    </row>
    <row r="55" spans="1:14" x14ac:dyDescent="0.2">
      <c r="A55" t="s">
        <v>58</v>
      </c>
      <c r="B55" s="1">
        <v>45333</v>
      </c>
      <c r="C55" t="s">
        <v>13</v>
      </c>
      <c r="D55">
        <v>1</v>
      </c>
      <c r="E55" s="1">
        <v>45480</v>
      </c>
      <c r="F55" t="s">
        <v>129</v>
      </c>
      <c r="G55">
        <v>50</v>
      </c>
      <c r="H55">
        <v>25</v>
      </c>
      <c r="I55">
        <v>459</v>
      </c>
      <c r="J55">
        <v>261</v>
      </c>
      <c r="K55">
        <v>1.5</v>
      </c>
      <c r="L55" s="1">
        <v>45483</v>
      </c>
      <c r="M55">
        <f t="shared" si="0"/>
        <v>198</v>
      </c>
      <c r="N55">
        <f t="shared" si="1"/>
        <v>171.5</v>
      </c>
    </row>
    <row r="56" spans="1:14" x14ac:dyDescent="0.2">
      <c r="A56" t="s">
        <v>48</v>
      </c>
      <c r="B56" s="1">
        <v>45401</v>
      </c>
      <c r="C56" t="s">
        <v>19</v>
      </c>
      <c r="D56">
        <v>3</v>
      </c>
      <c r="E56" s="1">
        <v>45454</v>
      </c>
      <c r="F56" t="s">
        <v>130</v>
      </c>
      <c r="G56">
        <v>500</v>
      </c>
      <c r="H56">
        <v>0</v>
      </c>
      <c r="I56">
        <v>805</v>
      </c>
      <c r="J56">
        <v>165</v>
      </c>
      <c r="K56">
        <v>15</v>
      </c>
      <c r="L56" s="1">
        <v>45458</v>
      </c>
      <c r="M56">
        <f t="shared" si="0"/>
        <v>640</v>
      </c>
      <c r="N56">
        <f t="shared" si="1"/>
        <v>625</v>
      </c>
    </row>
    <row r="57" spans="1:14" x14ac:dyDescent="0.2">
      <c r="A57" t="s">
        <v>49</v>
      </c>
      <c r="B57" s="1">
        <v>45302</v>
      </c>
      <c r="C57" t="s">
        <v>26</v>
      </c>
      <c r="D57">
        <v>2</v>
      </c>
      <c r="E57" s="1">
        <v>45337</v>
      </c>
      <c r="F57" t="s">
        <v>131</v>
      </c>
      <c r="G57">
        <v>500</v>
      </c>
      <c r="H57">
        <v>100</v>
      </c>
      <c r="I57">
        <v>259</v>
      </c>
      <c r="J57">
        <v>32</v>
      </c>
      <c r="K57">
        <v>15</v>
      </c>
      <c r="L57" s="1">
        <v>45348</v>
      </c>
      <c r="M57">
        <f t="shared" si="0"/>
        <v>227</v>
      </c>
      <c r="N57">
        <f t="shared" si="1"/>
        <v>112</v>
      </c>
    </row>
    <row r="58" spans="1:14" x14ac:dyDescent="0.2">
      <c r="A58" t="s">
        <v>27</v>
      </c>
      <c r="B58" s="1">
        <v>45441</v>
      </c>
      <c r="C58" t="s">
        <v>19</v>
      </c>
      <c r="D58">
        <v>2</v>
      </c>
      <c r="E58" s="1">
        <v>45585</v>
      </c>
      <c r="F58" t="s">
        <v>130</v>
      </c>
      <c r="G58">
        <v>0</v>
      </c>
      <c r="H58">
        <v>0</v>
      </c>
      <c r="I58">
        <v>887</v>
      </c>
      <c r="J58">
        <v>784</v>
      </c>
      <c r="K58">
        <v>0</v>
      </c>
      <c r="L58" s="1">
        <v>45609</v>
      </c>
      <c r="M58">
        <f t="shared" si="0"/>
        <v>103</v>
      </c>
      <c r="N58">
        <f t="shared" si="1"/>
        <v>103</v>
      </c>
    </row>
    <row r="59" spans="1:14" x14ac:dyDescent="0.2">
      <c r="A59" t="s">
        <v>21</v>
      </c>
      <c r="B59" s="1">
        <v>45422</v>
      </c>
      <c r="C59" t="s">
        <v>22</v>
      </c>
      <c r="D59">
        <v>2</v>
      </c>
      <c r="E59" s="1">
        <v>45566</v>
      </c>
      <c r="F59" t="s">
        <v>128</v>
      </c>
      <c r="G59">
        <v>200</v>
      </c>
      <c r="H59">
        <v>0</v>
      </c>
      <c r="I59">
        <v>934</v>
      </c>
      <c r="J59">
        <v>575</v>
      </c>
      <c r="K59">
        <v>6</v>
      </c>
      <c r="L59" s="1">
        <v>45573</v>
      </c>
      <c r="M59">
        <f t="shared" si="0"/>
        <v>359</v>
      </c>
      <c r="N59">
        <f t="shared" si="1"/>
        <v>353</v>
      </c>
    </row>
    <row r="60" spans="1:14" x14ac:dyDescent="0.2">
      <c r="A60" t="s">
        <v>51</v>
      </c>
      <c r="B60" s="1">
        <v>45316</v>
      </c>
      <c r="C60" t="s">
        <v>22</v>
      </c>
      <c r="D60">
        <v>1</v>
      </c>
      <c r="E60" s="1">
        <v>45441</v>
      </c>
      <c r="F60" t="s">
        <v>130</v>
      </c>
      <c r="G60">
        <v>200</v>
      </c>
      <c r="H60">
        <v>0</v>
      </c>
      <c r="I60">
        <v>965</v>
      </c>
      <c r="J60">
        <v>440</v>
      </c>
      <c r="K60">
        <v>6</v>
      </c>
      <c r="L60" s="1">
        <v>45447</v>
      </c>
      <c r="M60">
        <f t="shared" si="0"/>
        <v>525</v>
      </c>
      <c r="N60">
        <f t="shared" si="1"/>
        <v>519</v>
      </c>
    </row>
    <row r="61" spans="1:14" x14ac:dyDescent="0.2">
      <c r="A61" t="s">
        <v>58</v>
      </c>
      <c r="B61" s="1">
        <v>45323</v>
      </c>
      <c r="C61" t="s">
        <v>26</v>
      </c>
      <c r="D61">
        <v>2</v>
      </c>
      <c r="E61" s="1">
        <v>45434</v>
      </c>
      <c r="F61" t="s">
        <v>131</v>
      </c>
      <c r="G61">
        <v>50</v>
      </c>
      <c r="H61">
        <v>10</v>
      </c>
      <c r="I61">
        <v>278</v>
      </c>
      <c r="J61">
        <v>110</v>
      </c>
      <c r="K61">
        <v>1.5</v>
      </c>
      <c r="L61" s="1">
        <v>45464</v>
      </c>
      <c r="M61">
        <f t="shared" si="0"/>
        <v>168</v>
      </c>
      <c r="N61">
        <f t="shared" si="1"/>
        <v>156.5</v>
      </c>
    </row>
    <row r="62" spans="1:14" x14ac:dyDescent="0.2">
      <c r="A62" t="s">
        <v>59</v>
      </c>
      <c r="B62" s="1">
        <v>45335</v>
      </c>
      <c r="C62" t="s">
        <v>13</v>
      </c>
      <c r="D62">
        <v>2</v>
      </c>
      <c r="E62" s="1">
        <v>45487</v>
      </c>
      <c r="F62" t="s">
        <v>131</v>
      </c>
      <c r="G62">
        <v>50</v>
      </c>
      <c r="H62">
        <v>25</v>
      </c>
      <c r="I62">
        <v>557</v>
      </c>
      <c r="J62">
        <v>76</v>
      </c>
      <c r="K62">
        <v>1.5</v>
      </c>
      <c r="L62" s="1">
        <v>45506</v>
      </c>
      <c r="M62">
        <f t="shared" si="0"/>
        <v>481</v>
      </c>
      <c r="N62">
        <f t="shared" si="1"/>
        <v>454.5</v>
      </c>
    </row>
    <row r="63" spans="1:14" x14ac:dyDescent="0.2">
      <c r="A63" t="s">
        <v>60</v>
      </c>
      <c r="B63" s="1">
        <v>45404</v>
      </c>
      <c r="C63" t="s">
        <v>16</v>
      </c>
      <c r="D63">
        <v>1</v>
      </c>
      <c r="E63" s="1">
        <v>45458</v>
      </c>
      <c r="F63" t="s">
        <v>131</v>
      </c>
      <c r="G63">
        <v>20</v>
      </c>
      <c r="H63">
        <v>4</v>
      </c>
      <c r="I63">
        <v>954</v>
      </c>
      <c r="J63">
        <v>171</v>
      </c>
      <c r="K63">
        <v>0.6</v>
      </c>
      <c r="L63" s="1">
        <v>45468</v>
      </c>
      <c r="M63">
        <f t="shared" si="0"/>
        <v>783</v>
      </c>
      <c r="N63">
        <f t="shared" si="1"/>
        <v>778.4</v>
      </c>
    </row>
    <row r="64" spans="1:14" x14ac:dyDescent="0.2">
      <c r="A64" t="s">
        <v>61</v>
      </c>
      <c r="B64" s="1">
        <v>45413</v>
      </c>
      <c r="C64" t="s">
        <v>19</v>
      </c>
      <c r="D64">
        <v>1</v>
      </c>
      <c r="E64" s="1">
        <v>45502</v>
      </c>
      <c r="F64" t="s">
        <v>131</v>
      </c>
      <c r="G64">
        <v>100</v>
      </c>
      <c r="H64">
        <v>20</v>
      </c>
      <c r="I64">
        <v>221</v>
      </c>
      <c r="J64">
        <v>115</v>
      </c>
      <c r="K64">
        <v>3</v>
      </c>
      <c r="L64" s="1">
        <v>45530</v>
      </c>
      <c r="M64">
        <f t="shared" si="0"/>
        <v>106</v>
      </c>
      <c r="N64">
        <f t="shared" si="1"/>
        <v>83</v>
      </c>
    </row>
    <row r="65" spans="1:14" x14ac:dyDescent="0.2">
      <c r="A65" t="s">
        <v>62</v>
      </c>
      <c r="B65" s="1">
        <v>45336</v>
      </c>
      <c r="C65" t="s">
        <v>16</v>
      </c>
      <c r="D65">
        <v>2</v>
      </c>
      <c r="E65" s="1">
        <v>45363</v>
      </c>
      <c r="F65" t="s">
        <v>128</v>
      </c>
      <c r="G65">
        <v>20</v>
      </c>
      <c r="H65">
        <v>10</v>
      </c>
      <c r="I65">
        <v>634</v>
      </c>
      <c r="J65">
        <v>129</v>
      </c>
      <c r="K65">
        <v>0.6</v>
      </c>
      <c r="L65" s="1">
        <v>45386</v>
      </c>
      <c r="M65">
        <f t="shared" si="0"/>
        <v>505</v>
      </c>
      <c r="N65">
        <f t="shared" si="1"/>
        <v>494.4</v>
      </c>
    </row>
    <row r="66" spans="1:14" x14ac:dyDescent="0.2">
      <c r="A66" t="s">
        <v>62</v>
      </c>
      <c r="B66" s="1">
        <v>45359</v>
      </c>
      <c r="C66" t="s">
        <v>26</v>
      </c>
      <c r="D66">
        <v>1</v>
      </c>
      <c r="E66" s="1">
        <v>45395</v>
      </c>
      <c r="F66" t="s">
        <v>131</v>
      </c>
      <c r="G66">
        <v>200</v>
      </c>
      <c r="H66">
        <v>100</v>
      </c>
      <c r="I66">
        <v>342</v>
      </c>
      <c r="J66">
        <v>285</v>
      </c>
      <c r="K66">
        <v>6</v>
      </c>
      <c r="L66" s="1">
        <v>45399</v>
      </c>
      <c r="M66">
        <f t="shared" si="0"/>
        <v>57</v>
      </c>
      <c r="N66">
        <f t="shared" si="1"/>
        <v>-49</v>
      </c>
    </row>
    <row r="67" spans="1:14" x14ac:dyDescent="0.2">
      <c r="A67" t="s">
        <v>63</v>
      </c>
      <c r="B67" s="1">
        <v>45367</v>
      </c>
      <c r="C67" t="s">
        <v>19</v>
      </c>
      <c r="D67">
        <v>2</v>
      </c>
      <c r="E67" s="1">
        <v>45432</v>
      </c>
      <c r="F67" t="s">
        <v>131</v>
      </c>
      <c r="G67">
        <v>500</v>
      </c>
      <c r="H67">
        <v>250</v>
      </c>
      <c r="I67">
        <v>698</v>
      </c>
      <c r="J67">
        <v>493</v>
      </c>
      <c r="K67">
        <v>15</v>
      </c>
      <c r="L67" s="1">
        <v>45441</v>
      </c>
      <c r="M67">
        <f t="shared" ref="M67:M130" si="2">I67-J67</f>
        <v>205</v>
      </c>
      <c r="N67">
        <f t="shared" ref="N67:N130" si="3">M67-H67-K67</f>
        <v>-60</v>
      </c>
    </row>
    <row r="68" spans="1:14" x14ac:dyDescent="0.2">
      <c r="A68" t="s">
        <v>59</v>
      </c>
      <c r="B68" s="1">
        <v>45302</v>
      </c>
      <c r="C68" t="s">
        <v>19</v>
      </c>
      <c r="D68">
        <v>2</v>
      </c>
      <c r="E68" s="1">
        <v>45391</v>
      </c>
      <c r="F68" t="s">
        <v>129</v>
      </c>
      <c r="G68">
        <v>500</v>
      </c>
      <c r="H68">
        <v>100</v>
      </c>
      <c r="I68">
        <v>290</v>
      </c>
      <c r="J68">
        <v>252</v>
      </c>
      <c r="K68">
        <v>15</v>
      </c>
      <c r="L68" s="1">
        <v>45405</v>
      </c>
      <c r="M68">
        <f t="shared" si="2"/>
        <v>38</v>
      </c>
      <c r="N68">
        <f t="shared" si="3"/>
        <v>-77</v>
      </c>
    </row>
    <row r="69" spans="1:14" x14ac:dyDescent="0.2">
      <c r="A69" t="s">
        <v>64</v>
      </c>
      <c r="B69" s="1">
        <v>45465</v>
      </c>
      <c r="C69" t="s">
        <v>26</v>
      </c>
      <c r="D69">
        <v>1</v>
      </c>
      <c r="E69" s="1">
        <v>45535</v>
      </c>
      <c r="F69" t="s">
        <v>129</v>
      </c>
      <c r="G69">
        <v>50</v>
      </c>
      <c r="H69">
        <v>25</v>
      </c>
      <c r="I69">
        <v>480</v>
      </c>
      <c r="J69">
        <v>211</v>
      </c>
      <c r="K69">
        <v>1.5</v>
      </c>
      <c r="L69" s="1">
        <v>45541</v>
      </c>
      <c r="M69">
        <f t="shared" si="2"/>
        <v>269</v>
      </c>
      <c r="N69">
        <f t="shared" si="3"/>
        <v>242.5</v>
      </c>
    </row>
    <row r="70" spans="1:14" x14ac:dyDescent="0.2">
      <c r="A70" t="s">
        <v>64</v>
      </c>
      <c r="B70" s="1">
        <v>45408</v>
      </c>
      <c r="C70" t="s">
        <v>22</v>
      </c>
      <c r="D70">
        <v>2</v>
      </c>
      <c r="E70" s="1">
        <v>45525</v>
      </c>
      <c r="F70" t="s">
        <v>129</v>
      </c>
      <c r="G70">
        <v>20</v>
      </c>
      <c r="H70">
        <v>0</v>
      </c>
      <c r="I70">
        <v>828</v>
      </c>
      <c r="J70">
        <v>144</v>
      </c>
      <c r="K70">
        <v>0.6</v>
      </c>
      <c r="L70" s="1">
        <v>45537</v>
      </c>
      <c r="M70">
        <f t="shared" si="2"/>
        <v>684</v>
      </c>
      <c r="N70">
        <f t="shared" si="3"/>
        <v>683.4</v>
      </c>
    </row>
    <row r="71" spans="1:14" x14ac:dyDescent="0.2">
      <c r="A71" t="s">
        <v>30</v>
      </c>
      <c r="B71" s="1">
        <v>45399</v>
      </c>
      <c r="C71" t="s">
        <v>22</v>
      </c>
      <c r="D71">
        <v>2</v>
      </c>
      <c r="E71" s="1">
        <v>45527</v>
      </c>
      <c r="F71" t="s">
        <v>130</v>
      </c>
      <c r="G71">
        <v>50</v>
      </c>
      <c r="H71">
        <v>10</v>
      </c>
      <c r="I71">
        <v>654</v>
      </c>
      <c r="J71">
        <v>515</v>
      </c>
      <c r="K71">
        <v>1.5</v>
      </c>
      <c r="L71" s="1">
        <v>45547</v>
      </c>
      <c r="M71">
        <f t="shared" si="2"/>
        <v>139</v>
      </c>
      <c r="N71">
        <f t="shared" si="3"/>
        <v>127.5</v>
      </c>
    </row>
    <row r="72" spans="1:14" x14ac:dyDescent="0.2">
      <c r="A72" t="s">
        <v>65</v>
      </c>
      <c r="B72" s="1">
        <v>45398</v>
      </c>
      <c r="C72" t="s">
        <v>22</v>
      </c>
      <c r="D72">
        <v>3</v>
      </c>
      <c r="E72" s="1">
        <v>45546</v>
      </c>
      <c r="F72" t="s">
        <v>128</v>
      </c>
      <c r="G72">
        <v>100</v>
      </c>
      <c r="H72">
        <v>0</v>
      </c>
      <c r="I72">
        <v>30</v>
      </c>
      <c r="J72">
        <v>26</v>
      </c>
      <c r="K72">
        <v>3</v>
      </c>
      <c r="L72" s="1">
        <v>45548</v>
      </c>
      <c r="M72">
        <f t="shared" si="2"/>
        <v>4</v>
      </c>
      <c r="N72">
        <f t="shared" si="3"/>
        <v>1</v>
      </c>
    </row>
    <row r="73" spans="1:14" x14ac:dyDescent="0.2">
      <c r="A73" t="s">
        <v>50</v>
      </c>
      <c r="B73" s="1">
        <v>45407</v>
      </c>
      <c r="C73" t="s">
        <v>16</v>
      </c>
      <c r="D73">
        <v>3</v>
      </c>
      <c r="E73" s="1">
        <v>45579</v>
      </c>
      <c r="F73" t="s">
        <v>130</v>
      </c>
      <c r="G73">
        <v>100</v>
      </c>
      <c r="H73">
        <v>50</v>
      </c>
      <c r="I73">
        <v>604</v>
      </c>
      <c r="J73">
        <v>218</v>
      </c>
      <c r="K73">
        <v>3</v>
      </c>
      <c r="L73" s="1">
        <v>45587</v>
      </c>
      <c r="M73">
        <f t="shared" si="2"/>
        <v>386</v>
      </c>
      <c r="N73">
        <f t="shared" si="3"/>
        <v>333</v>
      </c>
    </row>
    <row r="74" spans="1:14" x14ac:dyDescent="0.2">
      <c r="A74" t="s">
        <v>66</v>
      </c>
      <c r="B74" s="1">
        <v>45303</v>
      </c>
      <c r="C74" t="s">
        <v>22</v>
      </c>
      <c r="D74">
        <v>2</v>
      </c>
      <c r="E74" s="1">
        <v>45359</v>
      </c>
      <c r="F74" t="s">
        <v>128</v>
      </c>
      <c r="G74">
        <v>200</v>
      </c>
      <c r="H74">
        <v>0</v>
      </c>
      <c r="I74">
        <v>377</v>
      </c>
      <c r="J74">
        <v>311</v>
      </c>
      <c r="K74">
        <v>6</v>
      </c>
      <c r="L74" s="1">
        <v>45371</v>
      </c>
      <c r="M74">
        <f t="shared" si="2"/>
        <v>66</v>
      </c>
      <c r="N74">
        <f t="shared" si="3"/>
        <v>60</v>
      </c>
    </row>
    <row r="75" spans="1:14" x14ac:dyDescent="0.2">
      <c r="A75" t="s">
        <v>49</v>
      </c>
      <c r="B75" s="1">
        <v>45460</v>
      </c>
      <c r="C75" t="s">
        <v>16</v>
      </c>
      <c r="D75">
        <v>3</v>
      </c>
      <c r="E75" s="1">
        <v>45490</v>
      </c>
      <c r="F75" t="s">
        <v>130</v>
      </c>
      <c r="G75">
        <v>100</v>
      </c>
      <c r="H75">
        <v>50</v>
      </c>
      <c r="I75">
        <v>268</v>
      </c>
      <c r="J75">
        <v>44</v>
      </c>
      <c r="K75">
        <v>3</v>
      </c>
      <c r="L75" s="1">
        <v>45491</v>
      </c>
      <c r="M75">
        <f t="shared" si="2"/>
        <v>224</v>
      </c>
      <c r="N75">
        <f t="shared" si="3"/>
        <v>171</v>
      </c>
    </row>
    <row r="76" spans="1:14" x14ac:dyDescent="0.2">
      <c r="A76" t="s">
        <v>67</v>
      </c>
      <c r="B76" s="1">
        <v>45440</v>
      </c>
      <c r="C76" t="s">
        <v>13</v>
      </c>
      <c r="D76">
        <v>3</v>
      </c>
      <c r="E76" s="1">
        <v>45481</v>
      </c>
      <c r="F76" t="s">
        <v>131</v>
      </c>
      <c r="G76">
        <v>20</v>
      </c>
      <c r="H76">
        <v>4</v>
      </c>
      <c r="I76">
        <v>996</v>
      </c>
      <c r="J76">
        <v>214</v>
      </c>
      <c r="K76">
        <v>0.6</v>
      </c>
      <c r="L76" s="1">
        <v>45482</v>
      </c>
      <c r="M76">
        <f t="shared" si="2"/>
        <v>782</v>
      </c>
      <c r="N76">
        <f t="shared" si="3"/>
        <v>777.4</v>
      </c>
    </row>
    <row r="77" spans="1:14" x14ac:dyDescent="0.2">
      <c r="A77" t="s">
        <v>56</v>
      </c>
      <c r="B77" s="1">
        <v>45380</v>
      </c>
      <c r="C77" t="s">
        <v>16</v>
      </c>
      <c r="D77">
        <v>2</v>
      </c>
      <c r="E77" s="1">
        <v>45542</v>
      </c>
      <c r="F77" t="s">
        <v>129</v>
      </c>
      <c r="G77">
        <v>100</v>
      </c>
      <c r="H77">
        <v>50</v>
      </c>
      <c r="I77">
        <v>185</v>
      </c>
      <c r="J77">
        <v>5</v>
      </c>
      <c r="K77">
        <v>3</v>
      </c>
      <c r="L77" s="1">
        <v>45554</v>
      </c>
      <c r="M77">
        <f t="shared" si="2"/>
        <v>180</v>
      </c>
      <c r="N77">
        <f t="shared" si="3"/>
        <v>127</v>
      </c>
    </row>
    <row r="78" spans="1:14" x14ac:dyDescent="0.2">
      <c r="A78" t="s">
        <v>60</v>
      </c>
      <c r="B78" s="1">
        <v>45342</v>
      </c>
      <c r="C78" t="s">
        <v>16</v>
      </c>
      <c r="D78">
        <v>2</v>
      </c>
      <c r="E78" s="1">
        <v>45418</v>
      </c>
      <c r="F78" t="s">
        <v>128</v>
      </c>
      <c r="G78">
        <v>200</v>
      </c>
      <c r="H78">
        <v>100</v>
      </c>
      <c r="I78">
        <v>147</v>
      </c>
      <c r="J78">
        <v>43</v>
      </c>
      <c r="K78">
        <v>6</v>
      </c>
      <c r="L78" s="1">
        <v>45435</v>
      </c>
      <c r="M78">
        <f t="shared" si="2"/>
        <v>104</v>
      </c>
      <c r="N78">
        <f t="shared" si="3"/>
        <v>-2</v>
      </c>
    </row>
    <row r="79" spans="1:14" x14ac:dyDescent="0.2">
      <c r="A79" t="s">
        <v>18</v>
      </c>
      <c r="B79" s="1">
        <v>45378</v>
      </c>
      <c r="C79" t="s">
        <v>22</v>
      </c>
      <c r="D79">
        <v>1</v>
      </c>
      <c r="E79" s="1">
        <v>45456</v>
      </c>
      <c r="F79" t="s">
        <v>130</v>
      </c>
      <c r="G79">
        <v>20</v>
      </c>
      <c r="H79">
        <v>0</v>
      </c>
      <c r="I79">
        <v>569</v>
      </c>
      <c r="J79">
        <v>264</v>
      </c>
      <c r="K79">
        <v>0.6</v>
      </c>
      <c r="L79" s="1">
        <v>45456</v>
      </c>
      <c r="M79">
        <f t="shared" si="2"/>
        <v>305</v>
      </c>
      <c r="N79">
        <f t="shared" si="3"/>
        <v>304.39999999999998</v>
      </c>
    </row>
    <row r="80" spans="1:14" x14ac:dyDescent="0.2">
      <c r="A80" t="s">
        <v>67</v>
      </c>
      <c r="B80" s="1">
        <v>45401</v>
      </c>
      <c r="C80" t="s">
        <v>13</v>
      </c>
      <c r="D80">
        <v>2</v>
      </c>
      <c r="E80" s="1">
        <v>45481</v>
      </c>
      <c r="F80" t="s">
        <v>130</v>
      </c>
      <c r="G80">
        <v>20</v>
      </c>
      <c r="H80">
        <v>4</v>
      </c>
      <c r="I80">
        <v>755</v>
      </c>
      <c r="J80">
        <v>73</v>
      </c>
      <c r="K80">
        <v>0.6</v>
      </c>
      <c r="L80" s="1">
        <v>45511</v>
      </c>
      <c r="M80">
        <f t="shared" si="2"/>
        <v>682</v>
      </c>
      <c r="N80">
        <f t="shared" si="3"/>
        <v>677.4</v>
      </c>
    </row>
    <row r="81" spans="1:14" x14ac:dyDescent="0.2">
      <c r="A81" t="s">
        <v>68</v>
      </c>
      <c r="B81" s="1">
        <v>45389</v>
      </c>
      <c r="C81" t="s">
        <v>16</v>
      </c>
      <c r="D81">
        <v>3</v>
      </c>
      <c r="E81" s="1">
        <v>45471</v>
      </c>
      <c r="F81" t="s">
        <v>131</v>
      </c>
      <c r="G81">
        <v>0</v>
      </c>
      <c r="H81">
        <v>0</v>
      </c>
      <c r="I81">
        <v>987</v>
      </c>
      <c r="J81">
        <v>956</v>
      </c>
      <c r="K81">
        <v>0</v>
      </c>
      <c r="L81" s="1">
        <v>45483</v>
      </c>
      <c r="M81">
        <f t="shared" si="2"/>
        <v>31</v>
      </c>
      <c r="N81">
        <f t="shared" si="3"/>
        <v>31</v>
      </c>
    </row>
    <row r="82" spans="1:14" x14ac:dyDescent="0.2">
      <c r="A82" t="s">
        <v>69</v>
      </c>
      <c r="B82" s="1">
        <v>45309</v>
      </c>
      <c r="C82" t="s">
        <v>22</v>
      </c>
      <c r="D82">
        <v>2</v>
      </c>
      <c r="E82" s="1">
        <v>45314</v>
      </c>
      <c r="F82" t="s">
        <v>129</v>
      </c>
      <c r="G82">
        <v>500</v>
      </c>
      <c r="H82">
        <v>250</v>
      </c>
      <c r="I82">
        <v>549</v>
      </c>
      <c r="J82">
        <v>447</v>
      </c>
      <c r="K82">
        <v>15</v>
      </c>
      <c r="L82" s="1">
        <v>45316</v>
      </c>
      <c r="M82">
        <f t="shared" si="2"/>
        <v>102</v>
      </c>
      <c r="N82">
        <f t="shared" si="3"/>
        <v>-163</v>
      </c>
    </row>
    <row r="83" spans="1:14" x14ac:dyDescent="0.2">
      <c r="A83" t="s">
        <v>70</v>
      </c>
      <c r="B83" s="1">
        <v>45453</v>
      </c>
      <c r="C83" t="s">
        <v>19</v>
      </c>
      <c r="D83">
        <v>3</v>
      </c>
      <c r="E83" s="1">
        <v>45558</v>
      </c>
      <c r="F83" t="s">
        <v>129</v>
      </c>
      <c r="G83">
        <v>500</v>
      </c>
      <c r="H83">
        <v>100</v>
      </c>
      <c r="I83">
        <v>818</v>
      </c>
      <c r="J83">
        <v>501</v>
      </c>
      <c r="K83">
        <v>15</v>
      </c>
      <c r="L83" s="1">
        <v>45576</v>
      </c>
      <c r="M83">
        <f t="shared" si="2"/>
        <v>317</v>
      </c>
      <c r="N83">
        <f t="shared" si="3"/>
        <v>202</v>
      </c>
    </row>
    <row r="84" spans="1:14" x14ac:dyDescent="0.2">
      <c r="A84" t="s">
        <v>35</v>
      </c>
      <c r="B84" s="1">
        <v>45340</v>
      </c>
      <c r="C84" t="s">
        <v>26</v>
      </c>
      <c r="D84">
        <v>3</v>
      </c>
      <c r="E84" s="1">
        <v>45477</v>
      </c>
      <c r="F84" t="s">
        <v>130</v>
      </c>
      <c r="G84">
        <v>20</v>
      </c>
      <c r="H84">
        <v>4</v>
      </c>
      <c r="I84">
        <v>896</v>
      </c>
      <c r="J84">
        <v>778</v>
      </c>
      <c r="K84">
        <v>0.6</v>
      </c>
      <c r="L84" s="1">
        <v>45495</v>
      </c>
      <c r="M84">
        <f t="shared" si="2"/>
        <v>118</v>
      </c>
      <c r="N84">
        <f t="shared" si="3"/>
        <v>113.4</v>
      </c>
    </row>
    <row r="85" spans="1:14" x14ac:dyDescent="0.2">
      <c r="A85" t="s">
        <v>65</v>
      </c>
      <c r="B85" s="1">
        <v>45450</v>
      </c>
      <c r="C85" t="s">
        <v>16</v>
      </c>
      <c r="D85">
        <v>1</v>
      </c>
      <c r="E85" s="1">
        <v>45548</v>
      </c>
      <c r="F85" t="s">
        <v>130</v>
      </c>
      <c r="G85">
        <v>0</v>
      </c>
      <c r="H85">
        <v>0</v>
      </c>
      <c r="I85">
        <v>266</v>
      </c>
      <c r="J85">
        <v>135</v>
      </c>
      <c r="K85">
        <v>0</v>
      </c>
      <c r="L85" s="1">
        <v>45553</v>
      </c>
      <c r="M85">
        <f t="shared" si="2"/>
        <v>131</v>
      </c>
      <c r="N85">
        <f t="shared" si="3"/>
        <v>131</v>
      </c>
    </row>
    <row r="86" spans="1:14" x14ac:dyDescent="0.2">
      <c r="A86" t="s">
        <v>24</v>
      </c>
      <c r="B86" s="1">
        <v>45427</v>
      </c>
      <c r="C86" t="s">
        <v>19</v>
      </c>
      <c r="D86">
        <v>2</v>
      </c>
      <c r="E86" s="1">
        <v>45571</v>
      </c>
      <c r="F86" t="s">
        <v>131</v>
      </c>
      <c r="G86">
        <v>0</v>
      </c>
      <c r="H86">
        <v>0</v>
      </c>
      <c r="I86">
        <v>625</v>
      </c>
      <c r="J86">
        <v>535</v>
      </c>
      <c r="K86">
        <v>0</v>
      </c>
      <c r="L86" s="1">
        <v>45573</v>
      </c>
      <c r="M86">
        <f t="shared" si="2"/>
        <v>90</v>
      </c>
      <c r="N86">
        <f t="shared" si="3"/>
        <v>90</v>
      </c>
    </row>
    <row r="87" spans="1:14" x14ac:dyDescent="0.2">
      <c r="A87" t="s">
        <v>32</v>
      </c>
      <c r="B87" s="1">
        <v>45337</v>
      </c>
      <c r="C87" t="s">
        <v>19</v>
      </c>
      <c r="D87">
        <v>3</v>
      </c>
      <c r="E87" s="1">
        <v>45504</v>
      </c>
      <c r="F87" t="s">
        <v>129</v>
      </c>
      <c r="G87">
        <v>20</v>
      </c>
      <c r="H87">
        <v>10</v>
      </c>
      <c r="I87">
        <v>623</v>
      </c>
      <c r="J87">
        <v>34</v>
      </c>
      <c r="K87">
        <v>0.6</v>
      </c>
      <c r="L87" s="1">
        <v>45532</v>
      </c>
      <c r="M87">
        <f t="shared" si="2"/>
        <v>589</v>
      </c>
      <c r="N87">
        <f t="shared" si="3"/>
        <v>578.4</v>
      </c>
    </row>
    <row r="88" spans="1:14" x14ac:dyDescent="0.2">
      <c r="A88" t="s">
        <v>71</v>
      </c>
      <c r="B88" s="1">
        <v>45402</v>
      </c>
      <c r="C88" t="s">
        <v>19</v>
      </c>
      <c r="D88">
        <v>2</v>
      </c>
      <c r="E88" s="1">
        <v>45519</v>
      </c>
      <c r="F88" t="s">
        <v>129</v>
      </c>
      <c r="G88">
        <v>200</v>
      </c>
      <c r="H88">
        <v>0</v>
      </c>
      <c r="I88">
        <v>470</v>
      </c>
      <c r="J88">
        <v>241</v>
      </c>
      <c r="K88">
        <v>6</v>
      </c>
      <c r="L88" s="1">
        <v>45530</v>
      </c>
      <c r="M88">
        <f t="shared" si="2"/>
        <v>229</v>
      </c>
      <c r="N88">
        <f t="shared" si="3"/>
        <v>223</v>
      </c>
    </row>
    <row r="89" spans="1:14" x14ac:dyDescent="0.2">
      <c r="A89" t="s">
        <v>46</v>
      </c>
      <c r="B89" s="1">
        <v>45407</v>
      </c>
      <c r="C89" t="s">
        <v>13</v>
      </c>
      <c r="D89">
        <v>3</v>
      </c>
      <c r="E89" s="1">
        <v>45517</v>
      </c>
      <c r="F89" t="s">
        <v>130</v>
      </c>
      <c r="G89">
        <v>0</v>
      </c>
      <c r="H89">
        <v>0</v>
      </c>
      <c r="I89">
        <v>608</v>
      </c>
      <c r="J89">
        <v>284</v>
      </c>
      <c r="K89">
        <v>0</v>
      </c>
      <c r="L89" s="1">
        <v>45518</v>
      </c>
      <c r="M89">
        <f t="shared" si="2"/>
        <v>324</v>
      </c>
      <c r="N89">
        <f t="shared" si="3"/>
        <v>324</v>
      </c>
    </row>
    <row r="90" spans="1:14" x14ac:dyDescent="0.2">
      <c r="A90" t="s">
        <v>72</v>
      </c>
      <c r="B90" s="1">
        <v>45385</v>
      </c>
      <c r="C90" t="s">
        <v>26</v>
      </c>
      <c r="D90">
        <v>1</v>
      </c>
      <c r="E90" s="1">
        <v>45399</v>
      </c>
      <c r="F90" t="s">
        <v>130</v>
      </c>
      <c r="G90">
        <v>500</v>
      </c>
      <c r="H90">
        <v>250</v>
      </c>
      <c r="I90">
        <v>819</v>
      </c>
      <c r="J90">
        <v>235</v>
      </c>
      <c r="K90">
        <v>15</v>
      </c>
      <c r="L90" s="1">
        <v>45400</v>
      </c>
      <c r="M90">
        <f t="shared" si="2"/>
        <v>584</v>
      </c>
      <c r="N90">
        <f t="shared" si="3"/>
        <v>319</v>
      </c>
    </row>
    <row r="91" spans="1:14" x14ac:dyDescent="0.2">
      <c r="A91" t="s">
        <v>39</v>
      </c>
      <c r="B91" s="1">
        <v>45383</v>
      </c>
      <c r="C91" t="s">
        <v>16</v>
      </c>
      <c r="D91">
        <v>2</v>
      </c>
      <c r="E91" s="1">
        <v>45531</v>
      </c>
      <c r="F91" t="s">
        <v>128</v>
      </c>
      <c r="G91">
        <v>0</v>
      </c>
      <c r="H91">
        <v>0</v>
      </c>
      <c r="I91">
        <v>62</v>
      </c>
      <c r="J91">
        <v>4</v>
      </c>
      <c r="K91">
        <v>0</v>
      </c>
      <c r="L91" s="1">
        <v>45549</v>
      </c>
      <c r="M91">
        <f t="shared" si="2"/>
        <v>58</v>
      </c>
      <c r="N91">
        <f t="shared" si="3"/>
        <v>58</v>
      </c>
    </row>
    <row r="92" spans="1:14" x14ac:dyDescent="0.2">
      <c r="A92" t="s">
        <v>73</v>
      </c>
      <c r="B92" s="1">
        <v>45379</v>
      </c>
      <c r="C92" t="s">
        <v>19</v>
      </c>
      <c r="D92">
        <v>3</v>
      </c>
      <c r="E92" s="1">
        <v>45551</v>
      </c>
      <c r="F92" t="s">
        <v>129</v>
      </c>
      <c r="G92">
        <v>200</v>
      </c>
      <c r="H92">
        <v>40</v>
      </c>
      <c r="I92">
        <v>967</v>
      </c>
      <c r="J92">
        <v>228</v>
      </c>
      <c r="K92">
        <v>6</v>
      </c>
      <c r="L92" s="1">
        <v>45556</v>
      </c>
      <c r="M92">
        <f t="shared" si="2"/>
        <v>739</v>
      </c>
      <c r="N92">
        <f t="shared" si="3"/>
        <v>693</v>
      </c>
    </row>
    <row r="93" spans="1:14" x14ac:dyDescent="0.2">
      <c r="A93" t="s">
        <v>67</v>
      </c>
      <c r="B93" s="1">
        <v>45384</v>
      </c>
      <c r="C93" t="s">
        <v>19</v>
      </c>
      <c r="D93">
        <v>2</v>
      </c>
      <c r="E93" s="1">
        <v>45540</v>
      </c>
      <c r="F93" t="s">
        <v>128</v>
      </c>
      <c r="G93">
        <v>100</v>
      </c>
      <c r="H93">
        <v>0</v>
      </c>
      <c r="I93">
        <v>148</v>
      </c>
      <c r="J93">
        <v>110</v>
      </c>
      <c r="K93">
        <v>3</v>
      </c>
      <c r="L93" s="1">
        <v>45569</v>
      </c>
      <c r="M93">
        <f t="shared" si="2"/>
        <v>38</v>
      </c>
      <c r="N93">
        <f t="shared" si="3"/>
        <v>35</v>
      </c>
    </row>
    <row r="94" spans="1:14" x14ac:dyDescent="0.2">
      <c r="A94" t="s">
        <v>74</v>
      </c>
      <c r="B94" s="1">
        <v>45410</v>
      </c>
      <c r="C94" t="s">
        <v>22</v>
      </c>
      <c r="D94">
        <v>2</v>
      </c>
      <c r="E94" s="1">
        <v>45544</v>
      </c>
      <c r="F94" t="s">
        <v>130</v>
      </c>
      <c r="G94">
        <v>200</v>
      </c>
      <c r="H94">
        <v>40</v>
      </c>
      <c r="I94">
        <v>146</v>
      </c>
      <c r="J94">
        <v>55</v>
      </c>
      <c r="K94">
        <v>6</v>
      </c>
      <c r="L94" s="1">
        <v>45572</v>
      </c>
      <c r="M94">
        <f t="shared" si="2"/>
        <v>91</v>
      </c>
      <c r="N94">
        <f t="shared" si="3"/>
        <v>45</v>
      </c>
    </row>
    <row r="95" spans="1:14" x14ac:dyDescent="0.2">
      <c r="A95" t="s">
        <v>73</v>
      </c>
      <c r="B95" s="1">
        <v>45337</v>
      </c>
      <c r="C95" t="s">
        <v>19</v>
      </c>
      <c r="D95">
        <v>1</v>
      </c>
      <c r="E95" s="1">
        <v>45400</v>
      </c>
      <c r="F95" t="s">
        <v>130</v>
      </c>
      <c r="G95">
        <v>0</v>
      </c>
      <c r="H95">
        <v>0</v>
      </c>
      <c r="I95">
        <v>286</v>
      </c>
      <c r="J95">
        <v>8</v>
      </c>
      <c r="K95">
        <v>0</v>
      </c>
      <c r="L95" s="1">
        <v>45429</v>
      </c>
      <c r="M95">
        <f t="shared" si="2"/>
        <v>278</v>
      </c>
      <c r="N95">
        <f t="shared" si="3"/>
        <v>278</v>
      </c>
    </row>
    <row r="96" spans="1:14" x14ac:dyDescent="0.2">
      <c r="A96" t="s">
        <v>75</v>
      </c>
      <c r="B96" s="1">
        <v>45472</v>
      </c>
      <c r="C96" t="s">
        <v>13</v>
      </c>
      <c r="D96">
        <v>2</v>
      </c>
      <c r="E96" s="1">
        <v>45483</v>
      </c>
      <c r="F96" t="s">
        <v>129</v>
      </c>
      <c r="G96">
        <v>50</v>
      </c>
      <c r="H96">
        <v>10</v>
      </c>
      <c r="I96">
        <v>843</v>
      </c>
      <c r="J96">
        <v>653</v>
      </c>
      <c r="K96">
        <v>1.5</v>
      </c>
      <c r="L96" s="1">
        <v>45509</v>
      </c>
      <c r="M96">
        <f t="shared" si="2"/>
        <v>190</v>
      </c>
      <c r="N96">
        <f t="shared" si="3"/>
        <v>178.5</v>
      </c>
    </row>
    <row r="97" spans="1:14" x14ac:dyDescent="0.2">
      <c r="A97" t="s">
        <v>76</v>
      </c>
      <c r="B97" s="1">
        <v>45409</v>
      </c>
      <c r="C97" t="s">
        <v>26</v>
      </c>
      <c r="D97">
        <v>3</v>
      </c>
      <c r="E97" s="1">
        <v>45473</v>
      </c>
      <c r="F97" t="s">
        <v>129</v>
      </c>
      <c r="G97">
        <v>0</v>
      </c>
      <c r="H97">
        <v>0</v>
      </c>
      <c r="I97">
        <v>497</v>
      </c>
      <c r="J97">
        <v>425</v>
      </c>
      <c r="K97">
        <v>0</v>
      </c>
      <c r="L97" s="1">
        <v>45494</v>
      </c>
      <c r="M97">
        <f t="shared" si="2"/>
        <v>72</v>
      </c>
      <c r="N97">
        <f t="shared" si="3"/>
        <v>72</v>
      </c>
    </row>
    <row r="98" spans="1:14" x14ac:dyDescent="0.2">
      <c r="A98" t="s">
        <v>77</v>
      </c>
      <c r="B98" s="1">
        <v>45351</v>
      </c>
      <c r="C98" t="s">
        <v>13</v>
      </c>
      <c r="D98">
        <v>3</v>
      </c>
      <c r="E98" s="1">
        <v>45489</v>
      </c>
      <c r="F98" t="s">
        <v>129</v>
      </c>
      <c r="G98">
        <v>20</v>
      </c>
      <c r="H98">
        <v>4</v>
      </c>
      <c r="I98">
        <v>247</v>
      </c>
      <c r="J98">
        <v>142</v>
      </c>
      <c r="K98">
        <v>0.6</v>
      </c>
      <c r="L98" s="1">
        <v>45514</v>
      </c>
      <c r="M98">
        <f t="shared" si="2"/>
        <v>105</v>
      </c>
      <c r="N98">
        <f t="shared" si="3"/>
        <v>100.4</v>
      </c>
    </row>
    <row r="99" spans="1:14" x14ac:dyDescent="0.2">
      <c r="A99" t="s">
        <v>52</v>
      </c>
      <c r="B99" s="1">
        <v>45441</v>
      </c>
      <c r="C99" t="s">
        <v>22</v>
      </c>
      <c r="D99">
        <v>1</v>
      </c>
      <c r="E99" s="1">
        <v>45493</v>
      </c>
      <c r="F99" t="s">
        <v>131</v>
      </c>
      <c r="G99">
        <v>200</v>
      </c>
      <c r="H99">
        <v>40</v>
      </c>
      <c r="I99">
        <v>134</v>
      </c>
      <c r="J99">
        <v>18</v>
      </c>
      <c r="K99">
        <v>6</v>
      </c>
      <c r="L99" s="1">
        <v>45505</v>
      </c>
      <c r="M99">
        <f t="shared" si="2"/>
        <v>116</v>
      </c>
      <c r="N99">
        <f t="shared" si="3"/>
        <v>70</v>
      </c>
    </row>
    <row r="100" spans="1:14" x14ac:dyDescent="0.2">
      <c r="A100" t="s">
        <v>18</v>
      </c>
      <c r="B100" s="1">
        <v>45294</v>
      </c>
      <c r="C100" t="s">
        <v>26</v>
      </c>
      <c r="D100">
        <v>1</v>
      </c>
      <c r="E100" s="1">
        <v>45368</v>
      </c>
      <c r="F100" t="s">
        <v>128</v>
      </c>
      <c r="G100">
        <v>500</v>
      </c>
      <c r="H100">
        <v>250</v>
      </c>
      <c r="I100">
        <v>477</v>
      </c>
      <c r="J100">
        <v>65</v>
      </c>
      <c r="K100">
        <v>15</v>
      </c>
      <c r="L100" s="1">
        <v>45380</v>
      </c>
      <c r="M100">
        <f t="shared" si="2"/>
        <v>412</v>
      </c>
      <c r="N100">
        <f t="shared" si="3"/>
        <v>147</v>
      </c>
    </row>
    <row r="101" spans="1:14" x14ac:dyDescent="0.2">
      <c r="A101" t="s">
        <v>63</v>
      </c>
      <c r="B101" s="1">
        <v>45309</v>
      </c>
      <c r="C101" t="s">
        <v>26</v>
      </c>
      <c r="D101">
        <v>1</v>
      </c>
      <c r="E101" s="1">
        <v>45346</v>
      </c>
      <c r="F101" t="s">
        <v>128</v>
      </c>
      <c r="G101">
        <v>500</v>
      </c>
      <c r="H101">
        <v>250</v>
      </c>
      <c r="I101">
        <v>713</v>
      </c>
      <c r="J101">
        <v>117</v>
      </c>
      <c r="K101">
        <v>15</v>
      </c>
      <c r="L101" s="1">
        <v>45375</v>
      </c>
      <c r="M101">
        <f t="shared" si="2"/>
        <v>596</v>
      </c>
      <c r="N101">
        <f t="shared" si="3"/>
        <v>331</v>
      </c>
    </row>
    <row r="102" spans="1:14" x14ac:dyDescent="0.2">
      <c r="A102" t="s">
        <v>78</v>
      </c>
      <c r="B102" s="1">
        <v>45368</v>
      </c>
      <c r="C102" t="s">
        <v>22</v>
      </c>
      <c r="D102">
        <v>3</v>
      </c>
      <c r="E102" s="1">
        <v>45476</v>
      </c>
      <c r="F102" t="s">
        <v>128</v>
      </c>
      <c r="G102">
        <v>0</v>
      </c>
      <c r="H102">
        <v>0</v>
      </c>
      <c r="I102">
        <v>281</v>
      </c>
      <c r="J102">
        <v>45</v>
      </c>
      <c r="K102">
        <v>0</v>
      </c>
      <c r="L102" s="1">
        <v>45502</v>
      </c>
      <c r="M102">
        <f t="shared" si="2"/>
        <v>236</v>
      </c>
      <c r="N102">
        <f t="shared" si="3"/>
        <v>236</v>
      </c>
    </row>
    <row r="103" spans="1:14" x14ac:dyDescent="0.2">
      <c r="A103" t="s">
        <v>79</v>
      </c>
      <c r="B103" s="1">
        <v>45379</v>
      </c>
      <c r="C103" t="s">
        <v>26</v>
      </c>
      <c r="D103">
        <v>2</v>
      </c>
      <c r="E103" s="1">
        <v>45386</v>
      </c>
      <c r="F103" t="s">
        <v>128</v>
      </c>
      <c r="G103">
        <v>50</v>
      </c>
      <c r="H103">
        <v>25</v>
      </c>
      <c r="I103">
        <v>630</v>
      </c>
      <c r="J103">
        <v>370</v>
      </c>
      <c r="K103">
        <v>1.5</v>
      </c>
      <c r="L103" s="1">
        <v>45402</v>
      </c>
      <c r="M103">
        <f t="shared" si="2"/>
        <v>260</v>
      </c>
      <c r="N103">
        <f t="shared" si="3"/>
        <v>233.5</v>
      </c>
    </row>
    <row r="104" spans="1:14" x14ac:dyDescent="0.2">
      <c r="A104" t="s">
        <v>48</v>
      </c>
      <c r="B104" s="1">
        <v>45448</v>
      </c>
      <c r="C104" t="s">
        <v>26</v>
      </c>
      <c r="D104">
        <v>1</v>
      </c>
      <c r="E104" s="1">
        <v>45497</v>
      </c>
      <c r="F104" t="s">
        <v>131</v>
      </c>
      <c r="G104">
        <v>100</v>
      </c>
      <c r="H104">
        <v>50</v>
      </c>
      <c r="I104">
        <v>701</v>
      </c>
      <c r="J104">
        <v>44</v>
      </c>
      <c r="K104">
        <v>3</v>
      </c>
      <c r="L104" s="1">
        <v>45515</v>
      </c>
      <c r="M104">
        <f t="shared" si="2"/>
        <v>657</v>
      </c>
      <c r="N104">
        <f t="shared" si="3"/>
        <v>604</v>
      </c>
    </row>
    <row r="105" spans="1:14" x14ac:dyDescent="0.2">
      <c r="A105" t="s">
        <v>70</v>
      </c>
      <c r="B105" s="1">
        <v>45466</v>
      </c>
      <c r="C105" t="s">
        <v>26</v>
      </c>
      <c r="D105">
        <v>3</v>
      </c>
      <c r="E105" s="1">
        <v>45558</v>
      </c>
      <c r="F105" t="s">
        <v>128</v>
      </c>
      <c r="G105">
        <v>0</v>
      </c>
      <c r="H105">
        <v>0</v>
      </c>
      <c r="I105">
        <v>794</v>
      </c>
      <c r="J105">
        <v>25</v>
      </c>
      <c r="K105">
        <v>0</v>
      </c>
      <c r="L105" s="1">
        <v>45582</v>
      </c>
      <c r="M105">
        <f t="shared" si="2"/>
        <v>769</v>
      </c>
      <c r="N105">
        <f t="shared" si="3"/>
        <v>769</v>
      </c>
    </row>
    <row r="106" spans="1:14" x14ac:dyDescent="0.2">
      <c r="A106" t="s">
        <v>55</v>
      </c>
      <c r="B106" s="1">
        <v>45421</v>
      </c>
      <c r="C106" t="s">
        <v>16</v>
      </c>
      <c r="D106">
        <v>2</v>
      </c>
      <c r="E106" s="1">
        <v>45423</v>
      </c>
      <c r="F106" t="s">
        <v>128</v>
      </c>
      <c r="G106">
        <v>20</v>
      </c>
      <c r="H106">
        <v>4</v>
      </c>
      <c r="I106">
        <v>773</v>
      </c>
      <c r="J106">
        <v>80</v>
      </c>
      <c r="K106">
        <v>0.6</v>
      </c>
      <c r="L106" s="1">
        <v>45442</v>
      </c>
      <c r="M106">
        <f t="shared" si="2"/>
        <v>693</v>
      </c>
      <c r="N106">
        <f t="shared" si="3"/>
        <v>688.4</v>
      </c>
    </row>
    <row r="107" spans="1:14" x14ac:dyDescent="0.2">
      <c r="A107" t="s">
        <v>67</v>
      </c>
      <c r="B107" s="1">
        <v>45392</v>
      </c>
      <c r="C107" t="s">
        <v>13</v>
      </c>
      <c r="D107">
        <v>2</v>
      </c>
      <c r="E107" s="1">
        <v>45520</v>
      </c>
      <c r="F107" t="s">
        <v>131</v>
      </c>
      <c r="G107">
        <v>0</v>
      </c>
      <c r="H107">
        <v>0</v>
      </c>
      <c r="I107">
        <v>331</v>
      </c>
      <c r="J107">
        <v>61</v>
      </c>
      <c r="K107">
        <v>0</v>
      </c>
      <c r="L107" s="1">
        <v>45549</v>
      </c>
      <c r="M107">
        <f t="shared" si="2"/>
        <v>270</v>
      </c>
      <c r="N107">
        <f t="shared" si="3"/>
        <v>270</v>
      </c>
    </row>
    <row r="108" spans="1:14" x14ac:dyDescent="0.2">
      <c r="A108" t="s">
        <v>80</v>
      </c>
      <c r="B108" s="1">
        <v>45460</v>
      </c>
      <c r="C108" t="s">
        <v>19</v>
      </c>
      <c r="D108">
        <v>1</v>
      </c>
      <c r="E108" s="1">
        <v>45468</v>
      </c>
      <c r="F108" t="s">
        <v>130</v>
      </c>
      <c r="G108">
        <v>100</v>
      </c>
      <c r="H108">
        <v>50</v>
      </c>
      <c r="I108">
        <v>716</v>
      </c>
      <c r="J108">
        <v>611</v>
      </c>
      <c r="K108">
        <v>3</v>
      </c>
      <c r="L108" s="1">
        <v>45484</v>
      </c>
      <c r="M108">
        <f t="shared" si="2"/>
        <v>105</v>
      </c>
      <c r="N108">
        <f t="shared" si="3"/>
        <v>52</v>
      </c>
    </row>
    <row r="109" spans="1:14" x14ac:dyDescent="0.2">
      <c r="A109" t="s">
        <v>39</v>
      </c>
      <c r="B109" s="1">
        <v>45417</v>
      </c>
      <c r="C109" t="s">
        <v>13</v>
      </c>
      <c r="D109">
        <v>2</v>
      </c>
      <c r="E109" s="1">
        <v>45420</v>
      </c>
      <c r="F109" t="s">
        <v>131</v>
      </c>
      <c r="G109">
        <v>20</v>
      </c>
      <c r="H109">
        <v>4</v>
      </c>
      <c r="I109">
        <v>488</v>
      </c>
      <c r="J109">
        <v>389</v>
      </c>
      <c r="K109">
        <v>0.6</v>
      </c>
      <c r="L109" s="1">
        <v>45428</v>
      </c>
      <c r="M109">
        <f t="shared" si="2"/>
        <v>99</v>
      </c>
      <c r="N109">
        <f t="shared" si="3"/>
        <v>94.4</v>
      </c>
    </row>
    <row r="110" spans="1:14" x14ac:dyDescent="0.2">
      <c r="A110" t="s">
        <v>81</v>
      </c>
      <c r="B110" s="1">
        <v>45303</v>
      </c>
      <c r="C110" t="s">
        <v>22</v>
      </c>
      <c r="D110">
        <v>1</v>
      </c>
      <c r="E110" s="1">
        <v>45329</v>
      </c>
      <c r="F110" t="s">
        <v>130</v>
      </c>
      <c r="G110">
        <v>500</v>
      </c>
      <c r="H110">
        <v>0</v>
      </c>
      <c r="I110">
        <v>519</v>
      </c>
      <c r="J110">
        <v>0</v>
      </c>
      <c r="K110">
        <v>15</v>
      </c>
      <c r="L110" s="1">
        <v>45330</v>
      </c>
      <c r="M110">
        <f t="shared" si="2"/>
        <v>519</v>
      </c>
      <c r="N110">
        <f t="shared" si="3"/>
        <v>504</v>
      </c>
    </row>
    <row r="111" spans="1:14" x14ac:dyDescent="0.2">
      <c r="A111" t="s">
        <v>82</v>
      </c>
      <c r="B111" s="1">
        <v>45329</v>
      </c>
      <c r="C111" t="s">
        <v>22</v>
      </c>
      <c r="D111">
        <v>1</v>
      </c>
      <c r="E111" s="1">
        <v>45483</v>
      </c>
      <c r="F111" t="s">
        <v>130</v>
      </c>
      <c r="G111">
        <v>50</v>
      </c>
      <c r="H111">
        <v>25</v>
      </c>
      <c r="I111">
        <v>614</v>
      </c>
      <c r="J111">
        <v>276</v>
      </c>
      <c r="K111">
        <v>1.5</v>
      </c>
      <c r="L111" s="1">
        <v>45485</v>
      </c>
      <c r="M111">
        <f t="shared" si="2"/>
        <v>338</v>
      </c>
      <c r="N111">
        <f t="shared" si="3"/>
        <v>311.5</v>
      </c>
    </row>
    <row r="112" spans="1:14" x14ac:dyDescent="0.2">
      <c r="A112" t="s">
        <v>65</v>
      </c>
      <c r="B112" s="1">
        <v>45458</v>
      </c>
      <c r="C112" t="s">
        <v>16</v>
      </c>
      <c r="D112">
        <v>2</v>
      </c>
      <c r="E112" s="1">
        <v>45632</v>
      </c>
      <c r="F112" t="s">
        <v>131</v>
      </c>
      <c r="G112">
        <v>0</v>
      </c>
      <c r="H112">
        <v>0</v>
      </c>
      <c r="I112">
        <v>866</v>
      </c>
      <c r="J112">
        <v>5</v>
      </c>
      <c r="K112">
        <v>0</v>
      </c>
      <c r="L112" s="1">
        <v>45646</v>
      </c>
      <c r="M112">
        <f t="shared" si="2"/>
        <v>861</v>
      </c>
      <c r="N112">
        <f t="shared" si="3"/>
        <v>861</v>
      </c>
    </row>
    <row r="113" spans="1:14" x14ac:dyDescent="0.2">
      <c r="A113" t="s">
        <v>47</v>
      </c>
      <c r="B113" s="1">
        <v>45331</v>
      </c>
      <c r="C113" t="s">
        <v>16</v>
      </c>
      <c r="D113">
        <v>3</v>
      </c>
      <c r="E113" s="1">
        <v>45436</v>
      </c>
      <c r="F113" t="s">
        <v>128</v>
      </c>
      <c r="G113">
        <v>100</v>
      </c>
      <c r="H113">
        <v>20</v>
      </c>
      <c r="I113">
        <v>470</v>
      </c>
      <c r="J113">
        <v>124</v>
      </c>
      <c r="K113">
        <v>3</v>
      </c>
      <c r="L113" s="1">
        <v>45444</v>
      </c>
      <c r="M113">
        <f t="shared" si="2"/>
        <v>346</v>
      </c>
      <c r="N113">
        <f t="shared" si="3"/>
        <v>323</v>
      </c>
    </row>
    <row r="114" spans="1:14" x14ac:dyDescent="0.2">
      <c r="A114" t="s">
        <v>62</v>
      </c>
      <c r="B114" s="1">
        <v>45332</v>
      </c>
      <c r="C114" t="s">
        <v>26</v>
      </c>
      <c r="D114">
        <v>3</v>
      </c>
      <c r="E114" s="1">
        <v>45423</v>
      </c>
      <c r="F114" t="s">
        <v>131</v>
      </c>
      <c r="G114">
        <v>200</v>
      </c>
      <c r="H114">
        <v>100</v>
      </c>
      <c r="I114">
        <v>234</v>
      </c>
      <c r="J114">
        <v>0</v>
      </c>
      <c r="K114">
        <v>6</v>
      </c>
      <c r="L114" s="1">
        <v>45446</v>
      </c>
      <c r="M114">
        <f t="shared" si="2"/>
        <v>234</v>
      </c>
      <c r="N114">
        <f t="shared" si="3"/>
        <v>128</v>
      </c>
    </row>
    <row r="115" spans="1:14" x14ac:dyDescent="0.2">
      <c r="A115" t="s">
        <v>83</v>
      </c>
      <c r="B115" s="1">
        <v>45410</v>
      </c>
      <c r="C115" t="s">
        <v>26</v>
      </c>
      <c r="D115">
        <v>2</v>
      </c>
      <c r="E115" s="1">
        <v>45522</v>
      </c>
      <c r="F115" t="s">
        <v>128</v>
      </c>
      <c r="G115">
        <v>500</v>
      </c>
      <c r="H115">
        <v>100</v>
      </c>
      <c r="I115">
        <v>406</v>
      </c>
      <c r="J115">
        <v>120</v>
      </c>
      <c r="K115">
        <v>15</v>
      </c>
      <c r="L115" s="1">
        <v>45528</v>
      </c>
      <c r="M115">
        <f t="shared" si="2"/>
        <v>286</v>
      </c>
      <c r="N115">
        <f t="shared" si="3"/>
        <v>171</v>
      </c>
    </row>
    <row r="116" spans="1:14" x14ac:dyDescent="0.2">
      <c r="A116" t="s">
        <v>63</v>
      </c>
      <c r="B116" s="1">
        <v>45430</v>
      </c>
      <c r="C116" t="s">
        <v>26</v>
      </c>
      <c r="D116">
        <v>2</v>
      </c>
      <c r="E116" s="1">
        <v>45478</v>
      </c>
      <c r="F116" t="s">
        <v>129</v>
      </c>
      <c r="G116">
        <v>0</v>
      </c>
      <c r="H116">
        <v>0</v>
      </c>
      <c r="I116">
        <v>657</v>
      </c>
      <c r="J116">
        <v>23</v>
      </c>
      <c r="K116">
        <v>0</v>
      </c>
      <c r="L116" s="1">
        <v>45485</v>
      </c>
      <c r="M116">
        <f t="shared" si="2"/>
        <v>634</v>
      </c>
      <c r="N116">
        <f t="shared" si="3"/>
        <v>634</v>
      </c>
    </row>
    <row r="117" spans="1:14" x14ac:dyDescent="0.2">
      <c r="A117" t="s">
        <v>84</v>
      </c>
      <c r="B117" s="1">
        <v>45472</v>
      </c>
      <c r="C117" t="s">
        <v>13</v>
      </c>
      <c r="D117">
        <v>3</v>
      </c>
      <c r="E117" s="1">
        <v>45503</v>
      </c>
      <c r="F117" t="s">
        <v>128</v>
      </c>
      <c r="G117">
        <v>500</v>
      </c>
      <c r="H117">
        <v>0</v>
      </c>
      <c r="I117">
        <v>771</v>
      </c>
      <c r="J117">
        <v>196</v>
      </c>
      <c r="K117">
        <v>15</v>
      </c>
      <c r="L117" s="1">
        <v>45524</v>
      </c>
      <c r="M117">
        <f t="shared" si="2"/>
        <v>575</v>
      </c>
      <c r="N117">
        <f t="shared" si="3"/>
        <v>560</v>
      </c>
    </row>
    <row r="118" spans="1:14" x14ac:dyDescent="0.2">
      <c r="A118" t="s">
        <v>30</v>
      </c>
      <c r="B118" s="1">
        <v>45388</v>
      </c>
      <c r="C118" t="s">
        <v>19</v>
      </c>
      <c r="D118">
        <v>1</v>
      </c>
      <c r="E118" s="1">
        <v>45442</v>
      </c>
      <c r="F118" t="s">
        <v>128</v>
      </c>
      <c r="G118">
        <v>200</v>
      </c>
      <c r="H118">
        <v>40</v>
      </c>
      <c r="I118">
        <v>659</v>
      </c>
      <c r="J118">
        <v>601</v>
      </c>
      <c r="K118">
        <v>6</v>
      </c>
      <c r="L118" s="1">
        <v>45458</v>
      </c>
      <c r="M118">
        <f t="shared" si="2"/>
        <v>58</v>
      </c>
      <c r="N118">
        <f t="shared" si="3"/>
        <v>12</v>
      </c>
    </row>
    <row r="119" spans="1:14" x14ac:dyDescent="0.2">
      <c r="A119" t="s">
        <v>85</v>
      </c>
      <c r="B119" s="1">
        <v>45321</v>
      </c>
      <c r="C119" t="s">
        <v>16</v>
      </c>
      <c r="D119">
        <v>2</v>
      </c>
      <c r="E119" s="1">
        <v>45444</v>
      </c>
      <c r="F119" t="s">
        <v>131</v>
      </c>
      <c r="G119">
        <v>50</v>
      </c>
      <c r="H119">
        <v>0</v>
      </c>
      <c r="I119">
        <v>879</v>
      </c>
      <c r="J119">
        <v>468</v>
      </c>
      <c r="K119">
        <v>1.5</v>
      </c>
      <c r="L119" s="1">
        <v>45455</v>
      </c>
      <c r="M119">
        <f t="shared" si="2"/>
        <v>411</v>
      </c>
      <c r="N119">
        <f t="shared" si="3"/>
        <v>409.5</v>
      </c>
    </row>
    <row r="120" spans="1:14" x14ac:dyDescent="0.2">
      <c r="A120" t="s">
        <v>23</v>
      </c>
      <c r="B120" s="1">
        <v>45355</v>
      </c>
      <c r="C120" t="s">
        <v>26</v>
      </c>
      <c r="D120">
        <v>2</v>
      </c>
      <c r="E120" s="1">
        <v>45442</v>
      </c>
      <c r="F120" t="s">
        <v>128</v>
      </c>
      <c r="G120">
        <v>500</v>
      </c>
      <c r="H120">
        <v>0</v>
      </c>
      <c r="I120">
        <v>40</v>
      </c>
      <c r="J120">
        <v>11</v>
      </c>
      <c r="K120">
        <v>15</v>
      </c>
      <c r="L120" s="1">
        <v>45467</v>
      </c>
      <c r="M120">
        <f t="shared" si="2"/>
        <v>29</v>
      </c>
      <c r="N120">
        <f t="shared" si="3"/>
        <v>14</v>
      </c>
    </row>
    <row r="121" spans="1:14" x14ac:dyDescent="0.2">
      <c r="A121" t="s">
        <v>39</v>
      </c>
      <c r="B121" s="1">
        <v>45336</v>
      </c>
      <c r="C121" t="s">
        <v>26</v>
      </c>
      <c r="D121">
        <v>3</v>
      </c>
      <c r="E121" s="1">
        <v>45514</v>
      </c>
      <c r="F121" t="s">
        <v>131</v>
      </c>
      <c r="G121">
        <v>50</v>
      </c>
      <c r="H121">
        <v>0</v>
      </c>
      <c r="I121">
        <v>698</v>
      </c>
      <c r="J121">
        <v>44</v>
      </c>
      <c r="K121">
        <v>1.5</v>
      </c>
      <c r="L121" s="1">
        <v>45544</v>
      </c>
      <c r="M121">
        <f t="shared" si="2"/>
        <v>654</v>
      </c>
      <c r="N121">
        <f t="shared" si="3"/>
        <v>652.5</v>
      </c>
    </row>
    <row r="122" spans="1:14" x14ac:dyDescent="0.2">
      <c r="A122" t="s">
        <v>56</v>
      </c>
      <c r="B122" s="1">
        <v>45422</v>
      </c>
      <c r="C122" t="s">
        <v>16</v>
      </c>
      <c r="D122">
        <v>1</v>
      </c>
      <c r="E122" s="1">
        <v>45501</v>
      </c>
      <c r="F122" t="s">
        <v>130</v>
      </c>
      <c r="G122">
        <v>50</v>
      </c>
      <c r="H122">
        <v>0</v>
      </c>
      <c r="I122">
        <v>166</v>
      </c>
      <c r="J122">
        <v>156</v>
      </c>
      <c r="K122">
        <v>1.5</v>
      </c>
      <c r="L122" s="1">
        <v>45514</v>
      </c>
      <c r="M122">
        <f t="shared" si="2"/>
        <v>10</v>
      </c>
      <c r="N122">
        <f t="shared" si="3"/>
        <v>8.5</v>
      </c>
    </row>
    <row r="123" spans="1:14" x14ac:dyDescent="0.2">
      <c r="A123" t="s">
        <v>83</v>
      </c>
      <c r="B123" s="1">
        <v>45350</v>
      </c>
      <c r="C123" t="s">
        <v>22</v>
      </c>
      <c r="D123">
        <v>2</v>
      </c>
      <c r="E123" s="1">
        <v>45364</v>
      </c>
      <c r="F123" t="s">
        <v>130</v>
      </c>
      <c r="G123">
        <v>500</v>
      </c>
      <c r="H123">
        <v>250</v>
      </c>
      <c r="I123">
        <v>287</v>
      </c>
      <c r="J123">
        <v>204</v>
      </c>
      <c r="K123">
        <v>15</v>
      </c>
      <c r="L123" s="1">
        <v>45385</v>
      </c>
      <c r="M123">
        <f t="shared" si="2"/>
        <v>83</v>
      </c>
      <c r="N123">
        <f t="shared" si="3"/>
        <v>-182</v>
      </c>
    </row>
    <row r="124" spans="1:14" x14ac:dyDescent="0.2">
      <c r="A124" t="s">
        <v>86</v>
      </c>
      <c r="B124" s="1">
        <v>45387</v>
      </c>
      <c r="C124" t="s">
        <v>22</v>
      </c>
      <c r="D124">
        <v>2</v>
      </c>
      <c r="E124" s="1">
        <v>45394</v>
      </c>
      <c r="F124" t="s">
        <v>130</v>
      </c>
      <c r="G124">
        <v>50</v>
      </c>
      <c r="H124">
        <v>10</v>
      </c>
      <c r="I124">
        <v>416</v>
      </c>
      <c r="J124">
        <v>165</v>
      </c>
      <c r="K124">
        <v>1.5</v>
      </c>
      <c r="L124" s="1">
        <v>45402</v>
      </c>
      <c r="M124">
        <f t="shared" si="2"/>
        <v>251</v>
      </c>
      <c r="N124">
        <f t="shared" si="3"/>
        <v>239.5</v>
      </c>
    </row>
    <row r="125" spans="1:14" x14ac:dyDescent="0.2">
      <c r="A125" t="s">
        <v>87</v>
      </c>
      <c r="B125" s="1">
        <v>45305</v>
      </c>
      <c r="C125" t="s">
        <v>16</v>
      </c>
      <c r="D125">
        <v>1</v>
      </c>
      <c r="E125" s="1">
        <v>45322</v>
      </c>
      <c r="F125" t="s">
        <v>129</v>
      </c>
      <c r="G125">
        <v>500</v>
      </c>
      <c r="H125">
        <v>0</v>
      </c>
      <c r="I125">
        <v>458</v>
      </c>
      <c r="J125">
        <v>112</v>
      </c>
      <c r="K125">
        <v>15</v>
      </c>
      <c r="L125" s="1">
        <v>45327</v>
      </c>
      <c r="M125">
        <f t="shared" si="2"/>
        <v>346</v>
      </c>
      <c r="N125">
        <f t="shared" si="3"/>
        <v>331</v>
      </c>
    </row>
    <row r="126" spans="1:14" x14ac:dyDescent="0.2">
      <c r="A126" t="s">
        <v>73</v>
      </c>
      <c r="B126" s="1">
        <v>45374</v>
      </c>
      <c r="C126" t="s">
        <v>19</v>
      </c>
      <c r="D126">
        <v>2</v>
      </c>
      <c r="E126" s="1">
        <v>45479</v>
      </c>
      <c r="F126" t="s">
        <v>129</v>
      </c>
      <c r="G126">
        <v>100</v>
      </c>
      <c r="H126">
        <v>20</v>
      </c>
      <c r="I126">
        <v>209</v>
      </c>
      <c r="J126">
        <v>50</v>
      </c>
      <c r="K126">
        <v>3</v>
      </c>
      <c r="L126" s="1">
        <v>45490</v>
      </c>
      <c r="M126">
        <f t="shared" si="2"/>
        <v>159</v>
      </c>
      <c r="N126">
        <f t="shared" si="3"/>
        <v>136</v>
      </c>
    </row>
    <row r="127" spans="1:14" x14ac:dyDescent="0.2">
      <c r="A127" t="s">
        <v>60</v>
      </c>
      <c r="B127" s="1">
        <v>45400</v>
      </c>
      <c r="C127" t="s">
        <v>22</v>
      </c>
      <c r="D127">
        <v>2</v>
      </c>
      <c r="E127" s="1">
        <v>45562</v>
      </c>
      <c r="F127" t="s">
        <v>130</v>
      </c>
      <c r="G127">
        <v>0</v>
      </c>
      <c r="H127">
        <v>0</v>
      </c>
      <c r="I127">
        <v>614</v>
      </c>
      <c r="J127">
        <v>155</v>
      </c>
      <c r="K127">
        <v>0</v>
      </c>
      <c r="L127" s="1">
        <v>45581</v>
      </c>
      <c r="M127">
        <f t="shared" si="2"/>
        <v>459</v>
      </c>
      <c r="N127">
        <f t="shared" si="3"/>
        <v>459</v>
      </c>
    </row>
    <row r="128" spans="1:14" x14ac:dyDescent="0.2">
      <c r="A128" t="s">
        <v>88</v>
      </c>
      <c r="B128" s="1">
        <v>45360</v>
      </c>
      <c r="C128" t="s">
        <v>13</v>
      </c>
      <c r="D128">
        <v>3</v>
      </c>
      <c r="E128" s="1">
        <v>45530</v>
      </c>
      <c r="F128" t="s">
        <v>129</v>
      </c>
      <c r="G128">
        <v>200</v>
      </c>
      <c r="H128">
        <v>0</v>
      </c>
      <c r="I128">
        <v>230</v>
      </c>
      <c r="J128">
        <v>135</v>
      </c>
      <c r="K128">
        <v>6</v>
      </c>
      <c r="L128" s="1">
        <v>45539</v>
      </c>
      <c r="M128">
        <f t="shared" si="2"/>
        <v>95</v>
      </c>
      <c r="N128">
        <f t="shared" si="3"/>
        <v>89</v>
      </c>
    </row>
    <row r="129" spans="1:14" x14ac:dyDescent="0.2">
      <c r="A129" t="s">
        <v>89</v>
      </c>
      <c r="B129" s="1">
        <v>45435</v>
      </c>
      <c r="C129" t="s">
        <v>26</v>
      </c>
      <c r="D129">
        <v>3</v>
      </c>
      <c r="E129" s="1">
        <v>45561</v>
      </c>
      <c r="F129" t="s">
        <v>128</v>
      </c>
      <c r="G129">
        <v>50</v>
      </c>
      <c r="H129">
        <v>10</v>
      </c>
      <c r="I129">
        <v>857</v>
      </c>
      <c r="J129">
        <v>139</v>
      </c>
      <c r="K129">
        <v>1.5</v>
      </c>
      <c r="L129" s="1">
        <v>45577</v>
      </c>
      <c r="M129">
        <f t="shared" si="2"/>
        <v>718</v>
      </c>
      <c r="N129">
        <f t="shared" si="3"/>
        <v>706.5</v>
      </c>
    </row>
    <row r="130" spans="1:14" x14ac:dyDescent="0.2">
      <c r="A130" t="s">
        <v>29</v>
      </c>
      <c r="B130" s="1">
        <v>45407</v>
      </c>
      <c r="C130" t="s">
        <v>13</v>
      </c>
      <c r="D130">
        <v>1</v>
      </c>
      <c r="E130" s="1">
        <v>45410</v>
      </c>
      <c r="F130" t="s">
        <v>130</v>
      </c>
      <c r="G130">
        <v>200</v>
      </c>
      <c r="H130">
        <v>40</v>
      </c>
      <c r="I130">
        <v>631</v>
      </c>
      <c r="J130">
        <v>261</v>
      </c>
      <c r="K130">
        <v>6</v>
      </c>
      <c r="L130" s="1">
        <v>45431</v>
      </c>
      <c r="M130">
        <f t="shared" si="2"/>
        <v>370</v>
      </c>
      <c r="N130">
        <f t="shared" si="3"/>
        <v>324</v>
      </c>
    </row>
    <row r="131" spans="1:14" x14ac:dyDescent="0.2">
      <c r="A131" t="s">
        <v>63</v>
      </c>
      <c r="B131" s="1">
        <v>45337</v>
      </c>
      <c r="C131" t="s">
        <v>13</v>
      </c>
      <c r="D131">
        <v>3</v>
      </c>
      <c r="E131" s="1">
        <v>45443</v>
      </c>
      <c r="F131" t="s">
        <v>130</v>
      </c>
      <c r="G131">
        <v>50</v>
      </c>
      <c r="H131">
        <v>10</v>
      </c>
      <c r="I131">
        <v>874</v>
      </c>
      <c r="J131">
        <v>749</v>
      </c>
      <c r="K131">
        <v>1.5</v>
      </c>
      <c r="L131" s="1">
        <v>45467</v>
      </c>
      <c r="M131">
        <f t="shared" ref="M131:M194" si="4">I131-J131</f>
        <v>125</v>
      </c>
      <c r="N131">
        <f t="shared" ref="N131:N194" si="5">M131-H131-K131</f>
        <v>113.5</v>
      </c>
    </row>
    <row r="132" spans="1:14" x14ac:dyDescent="0.2">
      <c r="A132" t="s">
        <v>90</v>
      </c>
      <c r="B132" s="1">
        <v>45457</v>
      </c>
      <c r="C132" t="s">
        <v>26</v>
      </c>
      <c r="D132">
        <v>2</v>
      </c>
      <c r="E132" s="1">
        <v>45627</v>
      </c>
      <c r="F132" t="s">
        <v>128</v>
      </c>
      <c r="G132">
        <v>200</v>
      </c>
      <c r="H132">
        <v>100</v>
      </c>
      <c r="I132">
        <v>70</v>
      </c>
      <c r="J132">
        <v>47</v>
      </c>
      <c r="K132">
        <v>6</v>
      </c>
      <c r="L132" s="1">
        <v>45649</v>
      </c>
      <c r="M132">
        <f t="shared" si="4"/>
        <v>23</v>
      </c>
      <c r="N132">
        <f t="shared" si="5"/>
        <v>-83</v>
      </c>
    </row>
    <row r="133" spans="1:14" x14ac:dyDescent="0.2">
      <c r="A133" t="s">
        <v>91</v>
      </c>
      <c r="B133" s="1">
        <v>45327</v>
      </c>
      <c r="C133" t="s">
        <v>26</v>
      </c>
      <c r="D133">
        <v>1</v>
      </c>
      <c r="E133" s="1">
        <v>45381</v>
      </c>
      <c r="F133" t="s">
        <v>130</v>
      </c>
      <c r="G133">
        <v>50</v>
      </c>
      <c r="H133">
        <v>25</v>
      </c>
      <c r="I133">
        <v>834</v>
      </c>
      <c r="J133">
        <v>495</v>
      </c>
      <c r="K133">
        <v>1.5</v>
      </c>
      <c r="L133" s="1">
        <v>45402</v>
      </c>
      <c r="M133">
        <f t="shared" si="4"/>
        <v>339</v>
      </c>
      <c r="N133">
        <f t="shared" si="5"/>
        <v>312.5</v>
      </c>
    </row>
    <row r="134" spans="1:14" x14ac:dyDescent="0.2">
      <c r="A134" t="s">
        <v>78</v>
      </c>
      <c r="B134" s="1">
        <v>45416</v>
      </c>
      <c r="C134" t="s">
        <v>19</v>
      </c>
      <c r="D134">
        <v>2</v>
      </c>
      <c r="E134" s="1">
        <v>45416</v>
      </c>
      <c r="F134" t="s">
        <v>130</v>
      </c>
      <c r="G134">
        <v>200</v>
      </c>
      <c r="H134">
        <v>100</v>
      </c>
      <c r="I134">
        <v>91</v>
      </c>
      <c r="J134">
        <v>22</v>
      </c>
      <c r="K134">
        <v>6</v>
      </c>
      <c r="L134" s="1">
        <v>45437</v>
      </c>
      <c r="M134">
        <f t="shared" si="4"/>
        <v>69</v>
      </c>
      <c r="N134">
        <f t="shared" si="5"/>
        <v>-37</v>
      </c>
    </row>
    <row r="135" spans="1:14" x14ac:dyDescent="0.2">
      <c r="A135" t="s">
        <v>41</v>
      </c>
      <c r="B135" s="1">
        <v>45404</v>
      </c>
      <c r="C135" t="s">
        <v>19</v>
      </c>
      <c r="D135">
        <v>1</v>
      </c>
      <c r="E135" s="1">
        <v>45489</v>
      </c>
      <c r="F135" t="s">
        <v>128</v>
      </c>
      <c r="G135">
        <v>20</v>
      </c>
      <c r="H135">
        <v>0</v>
      </c>
      <c r="I135">
        <v>523</v>
      </c>
      <c r="J135">
        <v>119</v>
      </c>
      <c r="K135">
        <v>0.6</v>
      </c>
      <c r="L135" s="1">
        <v>45510</v>
      </c>
      <c r="M135">
        <f t="shared" si="4"/>
        <v>404</v>
      </c>
      <c r="N135">
        <f t="shared" si="5"/>
        <v>403.4</v>
      </c>
    </row>
    <row r="136" spans="1:14" x14ac:dyDescent="0.2">
      <c r="A136" t="s">
        <v>92</v>
      </c>
      <c r="B136" s="1">
        <v>45369</v>
      </c>
      <c r="C136" t="s">
        <v>26</v>
      </c>
      <c r="D136">
        <v>2</v>
      </c>
      <c r="E136" s="1">
        <v>45436</v>
      </c>
      <c r="F136" t="s">
        <v>131</v>
      </c>
      <c r="G136">
        <v>100</v>
      </c>
      <c r="H136">
        <v>0</v>
      </c>
      <c r="I136">
        <v>394</v>
      </c>
      <c r="J136">
        <v>268</v>
      </c>
      <c r="K136">
        <v>3</v>
      </c>
      <c r="L136" s="1">
        <v>45444</v>
      </c>
      <c r="M136">
        <f t="shared" si="4"/>
        <v>126</v>
      </c>
      <c r="N136">
        <f t="shared" si="5"/>
        <v>123</v>
      </c>
    </row>
    <row r="137" spans="1:14" x14ac:dyDescent="0.2">
      <c r="A137" t="s">
        <v>93</v>
      </c>
      <c r="B137" s="1">
        <v>45418</v>
      </c>
      <c r="C137" t="s">
        <v>13</v>
      </c>
      <c r="D137">
        <v>2</v>
      </c>
      <c r="E137" s="1">
        <v>45487</v>
      </c>
      <c r="F137" t="s">
        <v>129</v>
      </c>
      <c r="G137">
        <v>0</v>
      </c>
      <c r="H137">
        <v>0</v>
      </c>
      <c r="I137">
        <v>315</v>
      </c>
      <c r="J137">
        <v>94</v>
      </c>
      <c r="K137">
        <v>0</v>
      </c>
      <c r="L137" s="1">
        <v>45492</v>
      </c>
      <c r="M137">
        <f t="shared" si="4"/>
        <v>221</v>
      </c>
      <c r="N137">
        <f t="shared" si="5"/>
        <v>221</v>
      </c>
    </row>
    <row r="138" spans="1:14" x14ac:dyDescent="0.2">
      <c r="A138" t="s">
        <v>49</v>
      </c>
      <c r="B138" s="1">
        <v>45435</v>
      </c>
      <c r="C138" t="s">
        <v>13</v>
      </c>
      <c r="D138">
        <v>3</v>
      </c>
      <c r="E138" s="1">
        <v>45515</v>
      </c>
      <c r="F138" t="s">
        <v>129</v>
      </c>
      <c r="G138">
        <v>500</v>
      </c>
      <c r="H138">
        <v>0</v>
      </c>
      <c r="I138">
        <v>454</v>
      </c>
      <c r="J138">
        <v>91</v>
      </c>
      <c r="K138">
        <v>15</v>
      </c>
      <c r="L138" s="1">
        <v>45522</v>
      </c>
      <c r="M138">
        <f t="shared" si="4"/>
        <v>363</v>
      </c>
      <c r="N138">
        <f t="shared" si="5"/>
        <v>348</v>
      </c>
    </row>
    <row r="139" spans="1:14" x14ac:dyDescent="0.2">
      <c r="A139" t="s">
        <v>81</v>
      </c>
      <c r="B139" s="1">
        <v>45419</v>
      </c>
      <c r="C139" t="s">
        <v>16</v>
      </c>
      <c r="D139">
        <v>1</v>
      </c>
      <c r="E139" s="1">
        <v>45581</v>
      </c>
      <c r="F139" t="s">
        <v>130</v>
      </c>
      <c r="G139">
        <v>20</v>
      </c>
      <c r="H139">
        <v>0</v>
      </c>
      <c r="I139">
        <v>740</v>
      </c>
      <c r="J139">
        <v>330</v>
      </c>
      <c r="K139">
        <v>0.6</v>
      </c>
      <c r="L139" s="1">
        <v>45597</v>
      </c>
      <c r="M139">
        <f t="shared" si="4"/>
        <v>410</v>
      </c>
      <c r="N139">
        <f t="shared" si="5"/>
        <v>409.4</v>
      </c>
    </row>
    <row r="140" spans="1:14" x14ac:dyDescent="0.2">
      <c r="A140" t="s">
        <v>94</v>
      </c>
      <c r="B140" s="1">
        <v>45397</v>
      </c>
      <c r="C140" t="s">
        <v>13</v>
      </c>
      <c r="D140">
        <v>1</v>
      </c>
      <c r="E140" s="1">
        <v>45405</v>
      </c>
      <c r="F140" t="s">
        <v>130</v>
      </c>
      <c r="G140">
        <v>500</v>
      </c>
      <c r="H140">
        <v>100</v>
      </c>
      <c r="I140">
        <v>380</v>
      </c>
      <c r="J140">
        <v>147</v>
      </c>
      <c r="K140">
        <v>15</v>
      </c>
      <c r="L140" s="1">
        <v>45417</v>
      </c>
      <c r="M140">
        <f t="shared" si="4"/>
        <v>233</v>
      </c>
      <c r="N140">
        <f t="shared" si="5"/>
        <v>118</v>
      </c>
    </row>
    <row r="141" spans="1:14" x14ac:dyDescent="0.2">
      <c r="A141" t="s">
        <v>95</v>
      </c>
      <c r="B141" s="1">
        <v>45408</v>
      </c>
      <c r="C141" t="s">
        <v>22</v>
      </c>
      <c r="D141">
        <v>2</v>
      </c>
      <c r="E141" s="1">
        <v>45448</v>
      </c>
      <c r="F141" t="s">
        <v>131</v>
      </c>
      <c r="G141">
        <v>200</v>
      </c>
      <c r="H141">
        <v>0</v>
      </c>
      <c r="I141">
        <v>533</v>
      </c>
      <c r="J141">
        <v>469</v>
      </c>
      <c r="K141">
        <v>6</v>
      </c>
      <c r="L141" s="1">
        <v>45468</v>
      </c>
      <c r="M141">
        <f t="shared" si="4"/>
        <v>64</v>
      </c>
      <c r="N141">
        <f t="shared" si="5"/>
        <v>58</v>
      </c>
    </row>
    <row r="142" spans="1:14" x14ac:dyDescent="0.2">
      <c r="A142" t="s">
        <v>29</v>
      </c>
      <c r="B142" s="1">
        <v>45442</v>
      </c>
      <c r="C142" t="s">
        <v>22</v>
      </c>
      <c r="D142">
        <v>1</v>
      </c>
      <c r="E142" s="1">
        <v>45494</v>
      </c>
      <c r="F142" t="s">
        <v>128</v>
      </c>
      <c r="G142">
        <v>500</v>
      </c>
      <c r="H142">
        <v>100</v>
      </c>
      <c r="I142">
        <v>584</v>
      </c>
      <c r="J142">
        <v>0</v>
      </c>
      <c r="K142">
        <v>15</v>
      </c>
      <c r="L142" s="1">
        <v>45520</v>
      </c>
      <c r="M142">
        <f t="shared" si="4"/>
        <v>584</v>
      </c>
      <c r="N142">
        <f t="shared" si="5"/>
        <v>469</v>
      </c>
    </row>
    <row r="143" spans="1:14" x14ac:dyDescent="0.2">
      <c r="A143" t="s">
        <v>25</v>
      </c>
      <c r="B143" s="1">
        <v>45373</v>
      </c>
      <c r="C143" t="s">
        <v>13</v>
      </c>
      <c r="D143">
        <v>2</v>
      </c>
      <c r="E143" s="1">
        <v>45480</v>
      </c>
      <c r="F143" t="s">
        <v>131</v>
      </c>
      <c r="G143">
        <v>50</v>
      </c>
      <c r="H143">
        <v>0</v>
      </c>
      <c r="I143">
        <v>157</v>
      </c>
      <c r="J143">
        <v>1</v>
      </c>
      <c r="K143">
        <v>1.5</v>
      </c>
      <c r="L143" s="1">
        <v>45504</v>
      </c>
      <c r="M143">
        <f t="shared" si="4"/>
        <v>156</v>
      </c>
      <c r="N143">
        <f t="shared" si="5"/>
        <v>154.5</v>
      </c>
    </row>
    <row r="144" spans="1:14" x14ac:dyDescent="0.2">
      <c r="A144" t="s">
        <v>77</v>
      </c>
      <c r="B144" s="1">
        <v>45326</v>
      </c>
      <c r="C144" t="s">
        <v>19</v>
      </c>
      <c r="D144">
        <v>2</v>
      </c>
      <c r="E144" s="1">
        <v>45360</v>
      </c>
      <c r="F144" t="s">
        <v>128</v>
      </c>
      <c r="G144">
        <v>20</v>
      </c>
      <c r="H144">
        <v>10</v>
      </c>
      <c r="I144">
        <v>628</v>
      </c>
      <c r="J144">
        <v>250</v>
      </c>
      <c r="K144">
        <v>0.6</v>
      </c>
      <c r="L144" s="1">
        <v>45376</v>
      </c>
      <c r="M144">
        <f t="shared" si="4"/>
        <v>378</v>
      </c>
      <c r="N144">
        <f t="shared" si="5"/>
        <v>367.4</v>
      </c>
    </row>
    <row r="145" spans="1:14" x14ac:dyDescent="0.2">
      <c r="A145" t="s">
        <v>96</v>
      </c>
      <c r="B145" s="1">
        <v>45323</v>
      </c>
      <c r="C145" t="s">
        <v>22</v>
      </c>
      <c r="D145">
        <v>2</v>
      </c>
      <c r="E145" s="1">
        <v>45472</v>
      </c>
      <c r="F145" t="s">
        <v>129</v>
      </c>
      <c r="G145">
        <v>0</v>
      </c>
      <c r="H145">
        <v>0</v>
      </c>
      <c r="I145">
        <v>188</v>
      </c>
      <c r="J145">
        <v>26</v>
      </c>
      <c r="K145">
        <v>0</v>
      </c>
      <c r="L145" s="1">
        <v>45494</v>
      </c>
      <c r="M145">
        <f t="shared" si="4"/>
        <v>162</v>
      </c>
      <c r="N145">
        <f t="shared" si="5"/>
        <v>162</v>
      </c>
    </row>
    <row r="146" spans="1:14" x14ac:dyDescent="0.2">
      <c r="A146" t="s">
        <v>97</v>
      </c>
      <c r="B146" s="1">
        <v>45460</v>
      </c>
      <c r="C146" t="s">
        <v>22</v>
      </c>
      <c r="D146">
        <v>3</v>
      </c>
      <c r="E146" s="1">
        <v>45467</v>
      </c>
      <c r="F146" t="s">
        <v>128</v>
      </c>
      <c r="G146">
        <v>500</v>
      </c>
      <c r="H146">
        <v>100</v>
      </c>
      <c r="I146">
        <v>769</v>
      </c>
      <c r="J146">
        <v>467</v>
      </c>
      <c r="K146">
        <v>15</v>
      </c>
      <c r="L146" s="1">
        <v>45467</v>
      </c>
      <c r="M146">
        <f t="shared" si="4"/>
        <v>302</v>
      </c>
      <c r="N146">
        <f t="shared" si="5"/>
        <v>187</v>
      </c>
    </row>
    <row r="147" spans="1:14" x14ac:dyDescent="0.2">
      <c r="A147" t="s">
        <v>98</v>
      </c>
      <c r="B147" s="1">
        <v>45339</v>
      </c>
      <c r="C147" t="s">
        <v>13</v>
      </c>
      <c r="D147">
        <v>1</v>
      </c>
      <c r="E147" s="1">
        <v>45339</v>
      </c>
      <c r="F147" t="s">
        <v>129</v>
      </c>
      <c r="G147">
        <v>0</v>
      </c>
      <c r="H147">
        <v>0</v>
      </c>
      <c r="I147">
        <v>786</v>
      </c>
      <c r="J147">
        <v>310</v>
      </c>
      <c r="K147">
        <v>0</v>
      </c>
      <c r="L147" s="1">
        <v>45367</v>
      </c>
      <c r="M147">
        <f t="shared" si="4"/>
        <v>476</v>
      </c>
      <c r="N147">
        <f t="shared" si="5"/>
        <v>476</v>
      </c>
    </row>
    <row r="148" spans="1:14" x14ac:dyDescent="0.2">
      <c r="A148" t="s">
        <v>71</v>
      </c>
      <c r="B148" s="1">
        <v>45382</v>
      </c>
      <c r="C148" t="s">
        <v>22</v>
      </c>
      <c r="D148">
        <v>3</v>
      </c>
      <c r="E148" s="1">
        <v>45389</v>
      </c>
      <c r="F148" t="s">
        <v>130</v>
      </c>
      <c r="G148">
        <v>500</v>
      </c>
      <c r="H148">
        <v>0</v>
      </c>
      <c r="I148">
        <v>489</v>
      </c>
      <c r="J148">
        <v>313</v>
      </c>
      <c r="K148">
        <v>15</v>
      </c>
      <c r="L148" s="1">
        <v>45413</v>
      </c>
      <c r="M148">
        <f t="shared" si="4"/>
        <v>176</v>
      </c>
      <c r="N148">
        <f t="shared" si="5"/>
        <v>161</v>
      </c>
    </row>
    <row r="149" spans="1:14" x14ac:dyDescent="0.2">
      <c r="A149" t="s">
        <v>70</v>
      </c>
      <c r="B149" s="1">
        <v>45294</v>
      </c>
      <c r="C149" t="s">
        <v>26</v>
      </c>
      <c r="D149">
        <v>3</v>
      </c>
      <c r="E149" s="1">
        <v>45313</v>
      </c>
      <c r="F149" t="s">
        <v>128</v>
      </c>
      <c r="G149">
        <v>500</v>
      </c>
      <c r="H149">
        <v>0</v>
      </c>
      <c r="I149">
        <v>791</v>
      </c>
      <c r="J149">
        <v>526</v>
      </c>
      <c r="K149">
        <v>15</v>
      </c>
      <c r="L149" s="1">
        <v>45335</v>
      </c>
      <c r="M149">
        <f t="shared" si="4"/>
        <v>265</v>
      </c>
      <c r="N149">
        <f t="shared" si="5"/>
        <v>250</v>
      </c>
    </row>
    <row r="150" spans="1:14" x14ac:dyDescent="0.2">
      <c r="A150" t="s">
        <v>30</v>
      </c>
      <c r="B150" s="1">
        <v>45444</v>
      </c>
      <c r="C150" t="s">
        <v>26</v>
      </c>
      <c r="D150">
        <v>2</v>
      </c>
      <c r="E150" s="1">
        <v>45575</v>
      </c>
      <c r="F150" t="s">
        <v>128</v>
      </c>
      <c r="G150">
        <v>0</v>
      </c>
      <c r="H150">
        <v>0</v>
      </c>
      <c r="I150">
        <v>516</v>
      </c>
      <c r="J150">
        <v>200</v>
      </c>
      <c r="K150">
        <v>0</v>
      </c>
      <c r="L150" s="1">
        <v>45578</v>
      </c>
      <c r="M150">
        <f t="shared" si="4"/>
        <v>316</v>
      </c>
      <c r="N150">
        <f t="shared" si="5"/>
        <v>316</v>
      </c>
    </row>
    <row r="151" spans="1:14" x14ac:dyDescent="0.2">
      <c r="A151" t="s">
        <v>99</v>
      </c>
      <c r="B151" s="1">
        <v>45440</v>
      </c>
      <c r="C151" t="s">
        <v>13</v>
      </c>
      <c r="D151">
        <v>1</v>
      </c>
      <c r="E151" s="1">
        <v>45480</v>
      </c>
      <c r="F151" t="s">
        <v>128</v>
      </c>
      <c r="G151">
        <v>0</v>
      </c>
      <c r="H151">
        <v>0</v>
      </c>
      <c r="I151">
        <v>673</v>
      </c>
      <c r="J151">
        <v>177</v>
      </c>
      <c r="K151">
        <v>0</v>
      </c>
      <c r="L151" s="1">
        <v>45509</v>
      </c>
      <c r="M151">
        <f t="shared" si="4"/>
        <v>496</v>
      </c>
      <c r="N151">
        <f t="shared" si="5"/>
        <v>496</v>
      </c>
    </row>
    <row r="152" spans="1:14" x14ac:dyDescent="0.2">
      <c r="A152" t="s">
        <v>31</v>
      </c>
      <c r="B152" s="1">
        <v>45390</v>
      </c>
      <c r="C152" t="s">
        <v>22</v>
      </c>
      <c r="D152">
        <v>2</v>
      </c>
      <c r="E152" s="1">
        <v>45401</v>
      </c>
      <c r="F152" t="s">
        <v>131</v>
      </c>
      <c r="G152">
        <v>100</v>
      </c>
      <c r="H152">
        <v>20</v>
      </c>
      <c r="I152">
        <v>336</v>
      </c>
      <c r="J152">
        <v>129</v>
      </c>
      <c r="K152">
        <v>3</v>
      </c>
      <c r="L152" s="1">
        <v>45412</v>
      </c>
      <c r="M152">
        <f t="shared" si="4"/>
        <v>207</v>
      </c>
      <c r="N152">
        <f t="shared" si="5"/>
        <v>184</v>
      </c>
    </row>
    <row r="153" spans="1:14" x14ac:dyDescent="0.2">
      <c r="A153" t="s">
        <v>93</v>
      </c>
      <c r="B153" s="1">
        <v>45296</v>
      </c>
      <c r="C153" t="s">
        <v>13</v>
      </c>
      <c r="D153">
        <v>2</v>
      </c>
      <c r="E153" s="1">
        <v>45342</v>
      </c>
      <c r="F153" t="s">
        <v>130</v>
      </c>
      <c r="G153">
        <v>100</v>
      </c>
      <c r="H153">
        <v>20</v>
      </c>
      <c r="I153">
        <v>83</v>
      </c>
      <c r="J153">
        <v>7</v>
      </c>
      <c r="K153">
        <v>3</v>
      </c>
      <c r="L153" s="1">
        <v>45363</v>
      </c>
      <c r="M153">
        <f t="shared" si="4"/>
        <v>76</v>
      </c>
      <c r="N153">
        <f t="shared" si="5"/>
        <v>53</v>
      </c>
    </row>
    <row r="154" spans="1:14" x14ac:dyDescent="0.2">
      <c r="A154" t="s">
        <v>83</v>
      </c>
      <c r="B154" s="1">
        <v>45341</v>
      </c>
      <c r="C154" t="s">
        <v>19</v>
      </c>
      <c r="D154">
        <v>1</v>
      </c>
      <c r="E154" s="1">
        <v>45463</v>
      </c>
      <c r="F154" t="s">
        <v>131</v>
      </c>
      <c r="G154">
        <v>500</v>
      </c>
      <c r="H154">
        <v>100</v>
      </c>
      <c r="I154">
        <v>962</v>
      </c>
      <c r="J154">
        <v>89</v>
      </c>
      <c r="K154">
        <v>15</v>
      </c>
      <c r="L154" s="1">
        <v>45490</v>
      </c>
      <c r="M154">
        <f t="shared" si="4"/>
        <v>873</v>
      </c>
      <c r="N154">
        <f t="shared" si="5"/>
        <v>758</v>
      </c>
    </row>
    <row r="155" spans="1:14" x14ac:dyDescent="0.2">
      <c r="A155" t="s">
        <v>76</v>
      </c>
      <c r="B155" s="1">
        <v>45363</v>
      </c>
      <c r="C155" t="s">
        <v>13</v>
      </c>
      <c r="D155">
        <v>3</v>
      </c>
      <c r="E155" s="1">
        <v>45401</v>
      </c>
      <c r="F155" t="s">
        <v>128</v>
      </c>
      <c r="G155">
        <v>200</v>
      </c>
      <c r="H155">
        <v>0</v>
      </c>
      <c r="I155">
        <v>228</v>
      </c>
      <c r="J155">
        <v>38</v>
      </c>
      <c r="K155">
        <v>6</v>
      </c>
      <c r="L155" s="1">
        <v>45425</v>
      </c>
      <c r="M155">
        <f t="shared" si="4"/>
        <v>190</v>
      </c>
      <c r="N155">
        <f t="shared" si="5"/>
        <v>184</v>
      </c>
    </row>
    <row r="156" spans="1:14" x14ac:dyDescent="0.2">
      <c r="A156" t="s">
        <v>100</v>
      </c>
      <c r="B156" s="1">
        <v>45415</v>
      </c>
      <c r="C156" t="s">
        <v>26</v>
      </c>
      <c r="D156">
        <v>1</v>
      </c>
      <c r="E156" s="1">
        <v>45484</v>
      </c>
      <c r="F156" t="s">
        <v>131</v>
      </c>
      <c r="G156">
        <v>50</v>
      </c>
      <c r="H156">
        <v>0</v>
      </c>
      <c r="I156">
        <v>764</v>
      </c>
      <c r="J156">
        <v>250</v>
      </c>
      <c r="K156">
        <v>1.5</v>
      </c>
      <c r="L156" s="1">
        <v>45507</v>
      </c>
      <c r="M156">
        <f t="shared" si="4"/>
        <v>514</v>
      </c>
      <c r="N156">
        <f t="shared" si="5"/>
        <v>512.5</v>
      </c>
    </row>
    <row r="157" spans="1:14" x14ac:dyDescent="0.2">
      <c r="A157" t="s">
        <v>101</v>
      </c>
      <c r="B157" s="1">
        <v>45362</v>
      </c>
      <c r="C157" t="s">
        <v>13</v>
      </c>
      <c r="D157">
        <v>3</v>
      </c>
      <c r="E157" s="1">
        <v>45428</v>
      </c>
      <c r="F157" t="s">
        <v>130</v>
      </c>
      <c r="G157">
        <v>0</v>
      </c>
      <c r="H157">
        <v>0</v>
      </c>
      <c r="I157">
        <v>334</v>
      </c>
      <c r="J157">
        <v>316</v>
      </c>
      <c r="K157">
        <v>0</v>
      </c>
      <c r="L157" s="1">
        <v>45434</v>
      </c>
      <c r="M157">
        <f t="shared" si="4"/>
        <v>18</v>
      </c>
      <c r="N157">
        <f t="shared" si="5"/>
        <v>18</v>
      </c>
    </row>
    <row r="158" spans="1:14" x14ac:dyDescent="0.2">
      <c r="A158" t="s">
        <v>66</v>
      </c>
      <c r="B158" s="1">
        <v>45415</v>
      </c>
      <c r="C158" t="s">
        <v>26</v>
      </c>
      <c r="D158">
        <v>2</v>
      </c>
      <c r="E158" s="1">
        <v>45532</v>
      </c>
      <c r="F158" t="s">
        <v>131</v>
      </c>
      <c r="G158">
        <v>50</v>
      </c>
      <c r="H158">
        <v>0</v>
      </c>
      <c r="I158">
        <v>590</v>
      </c>
      <c r="J158">
        <v>11</v>
      </c>
      <c r="K158">
        <v>1.5</v>
      </c>
      <c r="L158" s="1">
        <v>45539</v>
      </c>
      <c r="M158">
        <f t="shared" si="4"/>
        <v>579</v>
      </c>
      <c r="N158">
        <f t="shared" si="5"/>
        <v>577.5</v>
      </c>
    </row>
    <row r="159" spans="1:14" x14ac:dyDescent="0.2">
      <c r="A159" t="s">
        <v>80</v>
      </c>
      <c r="B159" s="1">
        <v>45458</v>
      </c>
      <c r="C159" t="s">
        <v>26</v>
      </c>
      <c r="D159">
        <v>1</v>
      </c>
      <c r="E159" s="1">
        <v>45504</v>
      </c>
      <c r="F159" t="s">
        <v>130</v>
      </c>
      <c r="G159">
        <v>500</v>
      </c>
      <c r="H159">
        <v>100</v>
      </c>
      <c r="I159">
        <v>347</v>
      </c>
      <c r="J159">
        <v>40</v>
      </c>
      <c r="K159">
        <v>15</v>
      </c>
      <c r="L159" s="1">
        <v>45515</v>
      </c>
      <c r="M159">
        <f t="shared" si="4"/>
        <v>307</v>
      </c>
      <c r="N159">
        <f t="shared" si="5"/>
        <v>192</v>
      </c>
    </row>
    <row r="160" spans="1:14" x14ac:dyDescent="0.2">
      <c r="A160" t="s">
        <v>70</v>
      </c>
      <c r="B160" s="1">
        <v>45453</v>
      </c>
      <c r="C160" t="s">
        <v>22</v>
      </c>
      <c r="D160">
        <v>2</v>
      </c>
      <c r="E160" s="1">
        <v>45528</v>
      </c>
      <c r="F160" t="s">
        <v>129</v>
      </c>
      <c r="G160">
        <v>20</v>
      </c>
      <c r="H160">
        <v>4</v>
      </c>
      <c r="I160">
        <v>799</v>
      </c>
      <c r="J160">
        <v>611</v>
      </c>
      <c r="K160">
        <v>0.6</v>
      </c>
      <c r="L160" s="1">
        <v>45558</v>
      </c>
      <c r="M160">
        <f t="shared" si="4"/>
        <v>188</v>
      </c>
      <c r="N160">
        <f t="shared" si="5"/>
        <v>183.4</v>
      </c>
    </row>
    <row r="161" spans="1:14" x14ac:dyDescent="0.2">
      <c r="A161" t="s">
        <v>102</v>
      </c>
      <c r="B161" s="1">
        <v>45302</v>
      </c>
      <c r="C161" t="s">
        <v>22</v>
      </c>
      <c r="D161">
        <v>2</v>
      </c>
      <c r="E161" s="1">
        <v>45477</v>
      </c>
      <c r="F161" t="s">
        <v>128</v>
      </c>
      <c r="G161">
        <v>0</v>
      </c>
      <c r="H161">
        <v>0</v>
      </c>
      <c r="I161">
        <v>499</v>
      </c>
      <c r="J161">
        <v>444</v>
      </c>
      <c r="K161">
        <v>0</v>
      </c>
      <c r="L161" s="1">
        <v>45494</v>
      </c>
      <c r="M161">
        <f t="shared" si="4"/>
        <v>55</v>
      </c>
      <c r="N161">
        <f t="shared" si="5"/>
        <v>55</v>
      </c>
    </row>
    <row r="162" spans="1:14" x14ac:dyDescent="0.2">
      <c r="A162" t="s">
        <v>52</v>
      </c>
      <c r="B162" s="1">
        <v>45385</v>
      </c>
      <c r="C162" t="s">
        <v>19</v>
      </c>
      <c r="D162">
        <v>3</v>
      </c>
      <c r="E162" s="1">
        <v>45515</v>
      </c>
      <c r="F162" t="s">
        <v>128</v>
      </c>
      <c r="G162">
        <v>500</v>
      </c>
      <c r="H162">
        <v>100</v>
      </c>
      <c r="I162">
        <v>961</v>
      </c>
      <c r="J162">
        <v>438</v>
      </c>
      <c r="K162">
        <v>15</v>
      </c>
      <c r="L162" s="1">
        <v>45531</v>
      </c>
      <c r="M162">
        <f t="shared" si="4"/>
        <v>523</v>
      </c>
      <c r="N162">
        <f t="shared" si="5"/>
        <v>408</v>
      </c>
    </row>
    <row r="163" spans="1:14" x14ac:dyDescent="0.2">
      <c r="A163" t="s">
        <v>103</v>
      </c>
      <c r="B163" s="1">
        <v>45292</v>
      </c>
      <c r="C163" t="s">
        <v>26</v>
      </c>
      <c r="D163">
        <v>2</v>
      </c>
      <c r="E163" s="1">
        <v>45464</v>
      </c>
      <c r="F163" t="s">
        <v>130</v>
      </c>
      <c r="G163">
        <v>200</v>
      </c>
      <c r="H163">
        <v>100</v>
      </c>
      <c r="I163">
        <v>135</v>
      </c>
      <c r="J163">
        <v>95</v>
      </c>
      <c r="K163">
        <v>6</v>
      </c>
      <c r="L163" s="1">
        <v>45477</v>
      </c>
      <c r="M163">
        <f t="shared" si="4"/>
        <v>40</v>
      </c>
      <c r="N163">
        <f t="shared" si="5"/>
        <v>-66</v>
      </c>
    </row>
    <row r="164" spans="1:14" x14ac:dyDescent="0.2">
      <c r="A164" t="s">
        <v>55</v>
      </c>
      <c r="B164" s="1">
        <v>45315</v>
      </c>
      <c r="C164" t="s">
        <v>19</v>
      </c>
      <c r="D164">
        <v>2</v>
      </c>
      <c r="E164" s="1">
        <v>45468</v>
      </c>
      <c r="F164" t="s">
        <v>130</v>
      </c>
      <c r="G164">
        <v>0</v>
      </c>
      <c r="H164">
        <v>0</v>
      </c>
      <c r="I164">
        <v>300</v>
      </c>
      <c r="J164">
        <v>75</v>
      </c>
      <c r="K164">
        <v>0</v>
      </c>
      <c r="L164" s="1">
        <v>45476</v>
      </c>
      <c r="M164">
        <f t="shared" si="4"/>
        <v>225</v>
      </c>
      <c r="N164">
        <f t="shared" si="5"/>
        <v>225</v>
      </c>
    </row>
    <row r="165" spans="1:14" x14ac:dyDescent="0.2">
      <c r="A165" t="s">
        <v>48</v>
      </c>
      <c r="B165" s="1">
        <v>45407</v>
      </c>
      <c r="C165" t="s">
        <v>19</v>
      </c>
      <c r="D165">
        <v>3</v>
      </c>
      <c r="E165" s="1">
        <v>45481</v>
      </c>
      <c r="F165" t="s">
        <v>131</v>
      </c>
      <c r="G165">
        <v>200</v>
      </c>
      <c r="H165">
        <v>0</v>
      </c>
      <c r="I165">
        <v>569</v>
      </c>
      <c r="J165">
        <v>182</v>
      </c>
      <c r="K165">
        <v>6</v>
      </c>
      <c r="L165" s="1">
        <v>45483</v>
      </c>
      <c r="M165">
        <f t="shared" si="4"/>
        <v>387</v>
      </c>
      <c r="N165">
        <f t="shared" si="5"/>
        <v>381</v>
      </c>
    </row>
    <row r="166" spans="1:14" x14ac:dyDescent="0.2">
      <c r="A166" t="s">
        <v>104</v>
      </c>
      <c r="B166" s="1">
        <v>45343</v>
      </c>
      <c r="C166" t="s">
        <v>16</v>
      </c>
      <c r="D166">
        <v>3</v>
      </c>
      <c r="E166" s="1">
        <v>45462</v>
      </c>
      <c r="F166" t="s">
        <v>129</v>
      </c>
      <c r="G166">
        <v>500</v>
      </c>
      <c r="H166">
        <v>250</v>
      </c>
      <c r="I166">
        <v>60</v>
      </c>
      <c r="J166">
        <v>31</v>
      </c>
      <c r="K166">
        <v>15</v>
      </c>
      <c r="L166" s="1">
        <v>45478</v>
      </c>
      <c r="M166">
        <f t="shared" si="4"/>
        <v>29</v>
      </c>
      <c r="N166">
        <f t="shared" si="5"/>
        <v>-236</v>
      </c>
    </row>
    <row r="167" spans="1:14" x14ac:dyDescent="0.2">
      <c r="A167" t="s">
        <v>35</v>
      </c>
      <c r="B167" s="1">
        <v>45406</v>
      </c>
      <c r="C167" t="s">
        <v>26</v>
      </c>
      <c r="D167">
        <v>1</v>
      </c>
      <c r="E167" s="1">
        <v>45446</v>
      </c>
      <c r="F167" t="s">
        <v>130</v>
      </c>
      <c r="G167">
        <v>0</v>
      </c>
      <c r="H167">
        <v>0</v>
      </c>
      <c r="I167">
        <v>731</v>
      </c>
      <c r="J167">
        <v>146</v>
      </c>
      <c r="K167">
        <v>0</v>
      </c>
      <c r="L167" s="1">
        <v>45452</v>
      </c>
      <c r="M167">
        <f t="shared" si="4"/>
        <v>585</v>
      </c>
      <c r="N167">
        <f t="shared" si="5"/>
        <v>585</v>
      </c>
    </row>
    <row r="168" spans="1:14" x14ac:dyDescent="0.2">
      <c r="A168" t="s">
        <v>92</v>
      </c>
      <c r="B168" s="1">
        <v>45411</v>
      </c>
      <c r="C168" t="s">
        <v>13</v>
      </c>
      <c r="D168">
        <v>1</v>
      </c>
      <c r="E168" s="1">
        <v>45420</v>
      </c>
      <c r="F168" t="s">
        <v>129</v>
      </c>
      <c r="G168">
        <v>100</v>
      </c>
      <c r="H168">
        <v>0</v>
      </c>
      <c r="I168">
        <v>584</v>
      </c>
      <c r="J168">
        <v>257</v>
      </c>
      <c r="K168">
        <v>3</v>
      </c>
      <c r="L168" s="1">
        <v>45431</v>
      </c>
      <c r="M168">
        <f t="shared" si="4"/>
        <v>327</v>
      </c>
      <c r="N168">
        <f t="shared" si="5"/>
        <v>324</v>
      </c>
    </row>
    <row r="169" spans="1:14" x14ac:dyDescent="0.2">
      <c r="A169" t="s">
        <v>64</v>
      </c>
      <c r="B169" s="1">
        <v>45385</v>
      </c>
      <c r="C169" t="s">
        <v>26</v>
      </c>
      <c r="D169">
        <v>3</v>
      </c>
      <c r="E169" s="1">
        <v>45404</v>
      </c>
      <c r="F169" t="s">
        <v>129</v>
      </c>
      <c r="G169">
        <v>50</v>
      </c>
      <c r="H169">
        <v>0</v>
      </c>
      <c r="I169">
        <v>646</v>
      </c>
      <c r="J169">
        <v>158</v>
      </c>
      <c r="K169">
        <v>1.5</v>
      </c>
      <c r="L169" s="1">
        <v>45420</v>
      </c>
      <c r="M169">
        <f t="shared" si="4"/>
        <v>488</v>
      </c>
      <c r="N169">
        <f t="shared" si="5"/>
        <v>486.5</v>
      </c>
    </row>
    <row r="170" spans="1:14" x14ac:dyDescent="0.2">
      <c r="A170" t="s">
        <v>105</v>
      </c>
      <c r="B170" s="1">
        <v>45371</v>
      </c>
      <c r="C170" t="s">
        <v>22</v>
      </c>
      <c r="D170">
        <v>2</v>
      </c>
      <c r="E170" s="1">
        <v>45398</v>
      </c>
      <c r="F170" t="s">
        <v>131</v>
      </c>
      <c r="G170">
        <v>0</v>
      </c>
      <c r="H170">
        <v>0</v>
      </c>
      <c r="I170">
        <v>999</v>
      </c>
      <c r="J170">
        <v>156</v>
      </c>
      <c r="K170">
        <v>0</v>
      </c>
      <c r="L170" s="1">
        <v>45409</v>
      </c>
      <c r="M170">
        <f t="shared" si="4"/>
        <v>843</v>
      </c>
      <c r="N170">
        <f t="shared" si="5"/>
        <v>843</v>
      </c>
    </row>
    <row r="171" spans="1:14" x14ac:dyDescent="0.2">
      <c r="A171" t="s">
        <v>61</v>
      </c>
      <c r="B171" s="1">
        <v>45339</v>
      </c>
      <c r="C171" t="s">
        <v>13</v>
      </c>
      <c r="D171">
        <v>3</v>
      </c>
      <c r="E171" s="1">
        <v>45403</v>
      </c>
      <c r="F171" t="s">
        <v>130</v>
      </c>
      <c r="G171">
        <v>0</v>
      </c>
      <c r="H171">
        <v>0</v>
      </c>
      <c r="I171">
        <v>636</v>
      </c>
      <c r="J171">
        <v>234</v>
      </c>
      <c r="K171">
        <v>0</v>
      </c>
      <c r="L171" s="1">
        <v>45417</v>
      </c>
      <c r="M171">
        <f t="shared" si="4"/>
        <v>402</v>
      </c>
      <c r="N171">
        <f t="shared" si="5"/>
        <v>402</v>
      </c>
    </row>
    <row r="172" spans="1:14" x14ac:dyDescent="0.2">
      <c r="A172" t="s">
        <v>40</v>
      </c>
      <c r="B172" s="1">
        <v>45364</v>
      </c>
      <c r="C172" t="s">
        <v>26</v>
      </c>
      <c r="D172">
        <v>2</v>
      </c>
      <c r="E172" s="1">
        <v>45404</v>
      </c>
      <c r="F172" t="s">
        <v>131</v>
      </c>
      <c r="G172">
        <v>500</v>
      </c>
      <c r="H172">
        <v>0</v>
      </c>
      <c r="I172">
        <v>146</v>
      </c>
      <c r="J172">
        <v>142</v>
      </c>
      <c r="K172">
        <v>15</v>
      </c>
      <c r="L172" s="1">
        <v>45406</v>
      </c>
      <c r="M172">
        <f t="shared" si="4"/>
        <v>4</v>
      </c>
      <c r="N172">
        <f t="shared" si="5"/>
        <v>-11</v>
      </c>
    </row>
    <row r="173" spans="1:14" x14ac:dyDescent="0.2">
      <c r="A173" t="s">
        <v>106</v>
      </c>
      <c r="B173" s="1">
        <v>45334</v>
      </c>
      <c r="C173" t="s">
        <v>16</v>
      </c>
      <c r="D173">
        <v>2</v>
      </c>
      <c r="E173" s="1">
        <v>45336</v>
      </c>
      <c r="F173" t="s">
        <v>130</v>
      </c>
      <c r="G173">
        <v>500</v>
      </c>
      <c r="H173">
        <v>250</v>
      </c>
      <c r="I173">
        <v>833</v>
      </c>
      <c r="J173">
        <v>440</v>
      </c>
      <c r="K173">
        <v>15</v>
      </c>
      <c r="L173" s="1">
        <v>45366</v>
      </c>
      <c r="M173">
        <f t="shared" si="4"/>
        <v>393</v>
      </c>
      <c r="N173">
        <f t="shared" si="5"/>
        <v>128</v>
      </c>
    </row>
    <row r="174" spans="1:14" x14ac:dyDescent="0.2">
      <c r="A174" t="s">
        <v>76</v>
      </c>
      <c r="B174" s="1">
        <v>45466</v>
      </c>
      <c r="C174" t="s">
        <v>26</v>
      </c>
      <c r="D174">
        <v>2</v>
      </c>
      <c r="E174" s="1">
        <v>45501</v>
      </c>
      <c r="F174" t="s">
        <v>131</v>
      </c>
      <c r="G174">
        <v>20</v>
      </c>
      <c r="H174">
        <v>0</v>
      </c>
      <c r="I174">
        <v>747</v>
      </c>
      <c r="J174">
        <v>479</v>
      </c>
      <c r="K174">
        <v>0.6</v>
      </c>
      <c r="L174" s="1">
        <v>45504</v>
      </c>
      <c r="M174">
        <f t="shared" si="4"/>
        <v>268</v>
      </c>
      <c r="N174">
        <f t="shared" si="5"/>
        <v>267.39999999999998</v>
      </c>
    </row>
    <row r="175" spans="1:14" x14ac:dyDescent="0.2">
      <c r="A175" t="s">
        <v>33</v>
      </c>
      <c r="B175" s="1">
        <v>45361</v>
      </c>
      <c r="C175" t="s">
        <v>22</v>
      </c>
      <c r="D175">
        <v>1</v>
      </c>
      <c r="E175" s="1">
        <v>45407</v>
      </c>
      <c r="F175" t="s">
        <v>128</v>
      </c>
      <c r="G175">
        <v>100</v>
      </c>
      <c r="H175">
        <v>20</v>
      </c>
      <c r="I175">
        <v>90</v>
      </c>
      <c r="J175">
        <v>0</v>
      </c>
      <c r="K175">
        <v>3</v>
      </c>
      <c r="L175" s="1">
        <v>45422</v>
      </c>
      <c r="M175">
        <f t="shared" si="4"/>
        <v>90</v>
      </c>
      <c r="N175">
        <f t="shared" si="5"/>
        <v>67</v>
      </c>
    </row>
    <row r="176" spans="1:14" x14ac:dyDescent="0.2">
      <c r="A176" t="s">
        <v>45</v>
      </c>
      <c r="B176" s="1">
        <v>45373</v>
      </c>
      <c r="C176" t="s">
        <v>22</v>
      </c>
      <c r="D176">
        <v>2</v>
      </c>
      <c r="E176" s="1">
        <v>45417</v>
      </c>
      <c r="F176" t="s">
        <v>131</v>
      </c>
      <c r="G176">
        <v>0</v>
      </c>
      <c r="H176">
        <v>0</v>
      </c>
      <c r="I176">
        <v>915</v>
      </c>
      <c r="J176">
        <v>180</v>
      </c>
      <c r="K176">
        <v>0</v>
      </c>
      <c r="L176" s="1">
        <v>45419</v>
      </c>
      <c r="M176">
        <f t="shared" si="4"/>
        <v>735</v>
      </c>
      <c r="N176">
        <f t="shared" si="5"/>
        <v>735</v>
      </c>
    </row>
    <row r="177" spans="1:14" x14ac:dyDescent="0.2">
      <c r="A177" t="s">
        <v>89</v>
      </c>
      <c r="B177" s="1">
        <v>45310</v>
      </c>
      <c r="C177" t="s">
        <v>13</v>
      </c>
      <c r="D177">
        <v>1</v>
      </c>
      <c r="E177" s="1">
        <v>45489</v>
      </c>
      <c r="F177" t="s">
        <v>129</v>
      </c>
      <c r="G177">
        <v>500</v>
      </c>
      <c r="H177">
        <v>100</v>
      </c>
      <c r="I177">
        <v>737</v>
      </c>
      <c r="J177">
        <v>166</v>
      </c>
      <c r="K177">
        <v>15</v>
      </c>
      <c r="L177" s="1">
        <v>45495</v>
      </c>
      <c r="M177">
        <f t="shared" si="4"/>
        <v>571</v>
      </c>
      <c r="N177">
        <f t="shared" si="5"/>
        <v>456</v>
      </c>
    </row>
    <row r="178" spans="1:14" x14ac:dyDescent="0.2">
      <c r="A178" t="s">
        <v>44</v>
      </c>
      <c r="B178" s="1">
        <v>45438</v>
      </c>
      <c r="C178" t="s">
        <v>26</v>
      </c>
      <c r="D178">
        <v>2</v>
      </c>
      <c r="E178" s="1">
        <v>45533</v>
      </c>
      <c r="F178" t="s">
        <v>131</v>
      </c>
      <c r="G178">
        <v>20</v>
      </c>
      <c r="H178">
        <v>0</v>
      </c>
      <c r="I178">
        <v>785</v>
      </c>
      <c r="J178">
        <v>732</v>
      </c>
      <c r="K178">
        <v>0.6</v>
      </c>
      <c r="L178" s="1">
        <v>45538</v>
      </c>
      <c r="M178">
        <f t="shared" si="4"/>
        <v>53</v>
      </c>
      <c r="N178">
        <f t="shared" si="5"/>
        <v>52.4</v>
      </c>
    </row>
    <row r="179" spans="1:14" x14ac:dyDescent="0.2">
      <c r="A179" t="s">
        <v>79</v>
      </c>
      <c r="B179" s="1">
        <v>45316</v>
      </c>
      <c r="C179" t="s">
        <v>13</v>
      </c>
      <c r="D179">
        <v>2</v>
      </c>
      <c r="E179" s="1">
        <v>45461</v>
      </c>
      <c r="F179" t="s">
        <v>128</v>
      </c>
      <c r="G179">
        <v>500</v>
      </c>
      <c r="H179">
        <v>100</v>
      </c>
      <c r="I179">
        <v>181</v>
      </c>
      <c r="J179">
        <v>28</v>
      </c>
      <c r="K179">
        <v>15</v>
      </c>
      <c r="L179" s="1">
        <v>45463</v>
      </c>
      <c r="M179">
        <f t="shared" si="4"/>
        <v>153</v>
      </c>
      <c r="N179">
        <f t="shared" si="5"/>
        <v>38</v>
      </c>
    </row>
    <row r="180" spans="1:14" x14ac:dyDescent="0.2">
      <c r="A180" t="s">
        <v>107</v>
      </c>
      <c r="B180" s="1">
        <v>45447</v>
      </c>
      <c r="C180" t="s">
        <v>22</v>
      </c>
      <c r="D180">
        <v>1</v>
      </c>
      <c r="E180" s="1">
        <v>45530</v>
      </c>
      <c r="F180" t="s">
        <v>129</v>
      </c>
      <c r="G180">
        <v>500</v>
      </c>
      <c r="H180">
        <v>250</v>
      </c>
      <c r="I180">
        <v>369</v>
      </c>
      <c r="J180">
        <v>240</v>
      </c>
      <c r="K180">
        <v>15</v>
      </c>
      <c r="L180" s="1">
        <v>45547</v>
      </c>
      <c r="M180">
        <f t="shared" si="4"/>
        <v>129</v>
      </c>
      <c r="N180">
        <f t="shared" si="5"/>
        <v>-136</v>
      </c>
    </row>
    <row r="181" spans="1:14" x14ac:dyDescent="0.2">
      <c r="A181" t="s">
        <v>108</v>
      </c>
      <c r="B181" s="1">
        <v>45382</v>
      </c>
      <c r="C181" t="s">
        <v>16</v>
      </c>
      <c r="D181">
        <v>2</v>
      </c>
      <c r="E181" s="1">
        <v>45478</v>
      </c>
      <c r="F181" t="s">
        <v>129</v>
      </c>
      <c r="G181">
        <v>0</v>
      </c>
      <c r="H181">
        <v>0</v>
      </c>
      <c r="I181">
        <v>543</v>
      </c>
      <c r="J181">
        <v>154</v>
      </c>
      <c r="K181">
        <v>0</v>
      </c>
      <c r="L181" s="1">
        <v>45485</v>
      </c>
      <c r="M181">
        <f t="shared" si="4"/>
        <v>389</v>
      </c>
      <c r="N181">
        <f t="shared" si="5"/>
        <v>389</v>
      </c>
    </row>
    <row r="182" spans="1:14" x14ac:dyDescent="0.2">
      <c r="A182" t="s">
        <v>95</v>
      </c>
      <c r="B182" s="1">
        <v>45312</v>
      </c>
      <c r="C182" t="s">
        <v>13</v>
      </c>
      <c r="D182">
        <v>2</v>
      </c>
      <c r="E182" s="1">
        <v>45400</v>
      </c>
      <c r="F182" t="s">
        <v>130</v>
      </c>
      <c r="G182">
        <v>500</v>
      </c>
      <c r="H182">
        <v>100</v>
      </c>
      <c r="I182">
        <v>979</v>
      </c>
      <c r="J182">
        <v>349</v>
      </c>
      <c r="K182">
        <v>15</v>
      </c>
      <c r="L182" s="1">
        <v>45421</v>
      </c>
      <c r="M182">
        <f t="shared" si="4"/>
        <v>630</v>
      </c>
      <c r="N182">
        <f t="shared" si="5"/>
        <v>515</v>
      </c>
    </row>
    <row r="183" spans="1:14" x14ac:dyDescent="0.2">
      <c r="A183" t="s">
        <v>15</v>
      </c>
      <c r="B183" s="1">
        <v>45324</v>
      </c>
      <c r="C183" t="s">
        <v>19</v>
      </c>
      <c r="D183">
        <v>2</v>
      </c>
      <c r="E183" s="1">
        <v>45494</v>
      </c>
      <c r="F183" t="s">
        <v>131</v>
      </c>
      <c r="G183">
        <v>20</v>
      </c>
      <c r="H183">
        <v>4</v>
      </c>
      <c r="I183">
        <v>989</v>
      </c>
      <c r="J183">
        <v>98</v>
      </c>
      <c r="K183">
        <v>0.6</v>
      </c>
      <c r="L183" s="1">
        <v>45504</v>
      </c>
      <c r="M183">
        <f t="shared" si="4"/>
        <v>891</v>
      </c>
      <c r="N183">
        <f t="shared" si="5"/>
        <v>886.4</v>
      </c>
    </row>
    <row r="184" spans="1:14" x14ac:dyDescent="0.2">
      <c r="A184" t="s">
        <v>61</v>
      </c>
      <c r="B184" s="1">
        <v>45326</v>
      </c>
      <c r="C184" t="s">
        <v>16</v>
      </c>
      <c r="D184">
        <v>3</v>
      </c>
      <c r="E184" s="1">
        <v>45434</v>
      </c>
      <c r="F184" t="s">
        <v>130</v>
      </c>
      <c r="G184">
        <v>500</v>
      </c>
      <c r="H184">
        <v>0</v>
      </c>
      <c r="I184">
        <v>711</v>
      </c>
      <c r="J184">
        <v>486</v>
      </c>
      <c r="K184">
        <v>15</v>
      </c>
      <c r="L184" s="1">
        <v>45459</v>
      </c>
      <c r="M184">
        <f t="shared" si="4"/>
        <v>225</v>
      </c>
      <c r="N184">
        <f t="shared" si="5"/>
        <v>210</v>
      </c>
    </row>
    <row r="185" spans="1:14" x14ac:dyDescent="0.2">
      <c r="A185" t="s">
        <v>105</v>
      </c>
      <c r="B185" s="1">
        <v>45459</v>
      </c>
      <c r="C185" t="s">
        <v>16</v>
      </c>
      <c r="D185">
        <v>2</v>
      </c>
      <c r="E185" s="1">
        <v>45618</v>
      </c>
      <c r="F185" t="s">
        <v>128</v>
      </c>
      <c r="G185">
        <v>0</v>
      </c>
      <c r="H185">
        <v>0</v>
      </c>
      <c r="I185">
        <v>687</v>
      </c>
      <c r="J185">
        <v>451</v>
      </c>
      <c r="K185">
        <v>0</v>
      </c>
      <c r="L185" s="1">
        <v>45643</v>
      </c>
      <c r="M185">
        <f t="shared" si="4"/>
        <v>236</v>
      </c>
      <c r="N185">
        <f t="shared" si="5"/>
        <v>236</v>
      </c>
    </row>
    <row r="186" spans="1:14" x14ac:dyDescent="0.2">
      <c r="A186" t="s">
        <v>44</v>
      </c>
      <c r="B186" s="1">
        <v>45422</v>
      </c>
      <c r="C186" t="s">
        <v>16</v>
      </c>
      <c r="D186">
        <v>2</v>
      </c>
      <c r="E186" s="1">
        <v>45478</v>
      </c>
      <c r="F186" t="s">
        <v>128</v>
      </c>
      <c r="G186">
        <v>20</v>
      </c>
      <c r="H186">
        <v>0</v>
      </c>
      <c r="I186">
        <v>356</v>
      </c>
      <c r="J186">
        <v>64</v>
      </c>
      <c r="K186">
        <v>0.6</v>
      </c>
      <c r="L186" s="1">
        <v>45503</v>
      </c>
      <c r="M186">
        <f t="shared" si="4"/>
        <v>292</v>
      </c>
      <c r="N186">
        <f t="shared" si="5"/>
        <v>291.39999999999998</v>
      </c>
    </row>
    <row r="187" spans="1:14" x14ac:dyDescent="0.2">
      <c r="A187" t="s">
        <v>50</v>
      </c>
      <c r="B187" s="1">
        <v>45445</v>
      </c>
      <c r="C187" t="s">
        <v>26</v>
      </c>
      <c r="D187">
        <v>1</v>
      </c>
      <c r="E187" s="1">
        <v>45474</v>
      </c>
      <c r="F187" t="s">
        <v>128</v>
      </c>
      <c r="G187">
        <v>20</v>
      </c>
      <c r="H187">
        <v>10</v>
      </c>
      <c r="I187">
        <v>473</v>
      </c>
      <c r="J187">
        <v>427</v>
      </c>
      <c r="K187">
        <v>0.6</v>
      </c>
      <c r="L187" s="1">
        <v>45501</v>
      </c>
      <c r="M187">
        <f t="shared" si="4"/>
        <v>46</v>
      </c>
      <c r="N187">
        <f t="shared" si="5"/>
        <v>35.4</v>
      </c>
    </row>
    <row r="188" spans="1:14" x14ac:dyDescent="0.2">
      <c r="A188" t="s">
        <v>18</v>
      </c>
      <c r="B188" s="1">
        <v>45396</v>
      </c>
      <c r="C188" t="s">
        <v>22</v>
      </c>
      <c r="D188">
        <v>1</v>
      </c>
      <c r="E188" s="1">
        <v>45515</v>
      </c>
      <c r="F188" t="s">
        <v>128</v>
      </c>
      <c r="G188">
        <v>50</v>
      </c>
      <c r="H188">
        <v>10</v>
      </c>
      <c r="I188">
        <v>37</v>
      </c>
      <c r="J188">
        <v>25</v>
      </c>
      <c r="K188">
        <v>1.5</v>
      </c>
      <c r="L188" s="1">
        <v>45524</v>
      </c>
      <c r="M188">
        <f t="shared" si="4"/>
        <v>12</v>
      </c>
      <c r="N188">
        <f t="shared" si="5"/>
        <v>0.5</v>
      </c>
    </row>
    <row r="189" spans="1:14" x14ac:dyDescent="0.2">
      <c r="A189" t="s">
        <v>75</v>
      </c>
      <c r="B189" s="1">
        <v>45311</v>
      </c>
      <c r="C189" t="s">
        <v>16</v>
      </c>
      <c r="D189">
        <v>2</v>
      </c>
      <c r="E189" s="1">
        <v>45386</v>
      </c>
      <c r="F189" t="s">
        <v>128</v>
      </c>
      <c r="G189">
        <v>200</v>
      </c>
      <c r="H189">
        <v>40</v>
      </c>
      <c r="I189">
        <v>17</v>
      </c>
      <c r="J189">
        <v>10</v>
      </c>
      <c r="K189">
        <v>6</v>
      </c>
      <c r="L189" s="1">
        <v>45393</v>
      </c>
      <c r="M189">
        <f t="shared" si="4"/>
        <v>7</v>
      </c>
      <c r="N189">
        <f t="shared" si="5"/>
        <v>-39</v>
      </c>
    </row>
    <row r="190" spans="1:14" x14ac:dyDescent="0.2">
      <c r="A190" t="s">
        <v>109</v>
      </c>
      <c r="B190" s="1">
        <v>45413</v>
      </c>
      <c r="C190" t="s">
        <v>13</v>
      </c>
      <c r="D190">
        <v>2</v>
      </c>
      <c r="E190" s="1">
        <v>45508</v>
      </c>
      <c r="F190" t="s">
        <v>131</v>
      </c>
      <c r="G190">
        <v>200</v>
      </c>
      <c r="H190">
        <v>40</v>
      </c>
      <c r="I190">
        <v>883</v>
      </c>
      <c r="J190">
        <v>679</v>
      </c>
      <c r="K190">
        <v>6</v>
      </c>
      <c r="L190" s="1">
        <v>45517</v>
      </c>
      <c r="M190">
        <f t="shared" si="4"/>
        <v>204</v>
      </c>
      <c r="N190">
        <f t="shared" si="5"/>
        <v>158</v>
      </c>
    </row>
    <row r="191" spans="1:14" x14ac:dyDescent="0.2">
      <c r="A191" t="s">
        <v>74</v>
      </c>
      <c r="B191" s="1">
        <v>45309</v>
      </c>
      <c r="C191" t="s">
        <v>26</v>
      </c>
      <c r="D191">
        <v>1</v>
      </c>
      <c r="E191" s="1">
        <v>45478</v>
      </c>
      <c r="F191" t="s">
        <v>131</v>
      </c>
      <c r="G191">
        <v>500</v>
      </c>
      <c r="H191">
        <v>250</v>
      </c>
      <c r="I191">
        <v>236</v>
      </c>
      <c r="J191">
        <v>218</v>
      </c>
      <c r="K191">
        <v>15</v>
      </c>
      <c r="L191" s="1">
        <v>45493</v>
      </c>
      <c r="M191">
        <f t="shared" si="4"/>
        <v>18</v>
      </c>
      <c r="N191">
        <f t="shared" si="5"/>
        <v>-247</v>
      </c>
    </row>
    <row r="192" spans="1:14" x14ac:dyDescent="0.2">
      <c r="A192" t="s">
        <v>77</v>
      </c>
      <c r="B192" s="1">
        <v>45321</v>
      </c>
      <c r="C192" t="s">
        <v>16</v>
      </c>
      <c r="D192">
        <v>3</v>
      </c>
      <c r="E192" s="1">
        <v>45414</v>
      </c>
      <c r="F192" t="s">
        <v>129</v>
      </c>
      <c r="G192">
        <v>0</v>
      </c>
      <c r="H192">
        <v>0</v>
      </c>
      <c r="I192">
        <v>798</v>
      </c>
      <c r="J192">
        <v>160</v>
      </c>
      <c r="K192">
        <v>0</v>
      </c>
      <c r="L192" s="1">
        <v>45441</v>
      </c>
      <c r="M192">
        <f t="shared" si="4"/>
        <v>638</v>
      </c>
      <c r="N192">
        <f t="shared" si="5"/>
        <v>638</v>
      </c>
    </row>
    <row r="193" spans="1:14" x14ac:dyDescent="0.2">
      <c r="A193" t="s">
        <v>53</v>
      </c>
      <c r="B193" s="1">
        <v>45292</v>
      </c>
      <c r="C193" t="s">
        <v>19</v>
      </c>
      <c r="D193">
        <v>3</v>
      </c>
      <c r="E193" s="1">
        <v>45454</v>
      </c>
      <c r="F193" t="s">
        <v>130</v>
      </c>
      <c r="G193">
        <v>100</v>
      </c>
      <c r="H193">
        <v>0</v>
      </c>
      <c r="I193">
        <v>901</v>
      </c>
      <c r="J193">
        <v>657</v>
      </c>
      <c r="K193">
        <v>3</v>
      </c>
      <c r="L193" s="1">
        <v>45478</v>
      </c>
      <c r="M193">
        <f t="shared" si="4"/>
        <v>244</v>
      </c>
      <c r="N193">
        <f t="shared" si="5"/>
        <v>241</v>
      </c>
    </row>
    <row r="194" spans="1:14" x14ac:dyDescent="0.2">
      <c r="A194" t="s">
        <v>29</v>
      </c>
      <c r="B194" s="1">
        <v>45332</v>
      </c>
      <c r="C194" t="s">
        <v>19</v>
      </c>
      <c r="D194">
        <v>1</v>
      </c>
      <c r="E194" s="1">
        <v>45442</v>
      </c>
      <c r="F194" t="s">
        <v>130</v>
      </c>
      <c r="G194">
        <v>20</v>
      </c>
      <c r="H194">
        <v>10</v>
      </c>
      <c r="I194">
        <v>831</v>
      </c>
      <c r="J194">
        <v>716</v>
      </c>
      <c r="K194">
        <v>0.6</v>
      </c>
      <c r="L194" s="1">
        <v>45455</v>
      </c>
      <c r="M194">
        <f t="shared" si="4"/>
        <v>115</v>
      </c>
      <c r="N194">
        <f t="shared" si="5"/>
        <v>104.4</v>
      </c>
    </row>
    <row r="195" spans="1:14" x14ac:dyDescent="0.2">
      <c r="A195" t="s">
        <v>48</v>
      </c>
      <c r="B195" s="1">
        <v>45417</v>
      </c>
      <c r="C195" t="s">
        <v>22</v>
      </c>
      <c r="D195">
        <v>2</v>
      </c>
      <c r="E195" s="1">
        <v>45451</v>
      </c>
      <c r="F195" t="s">
        <v>128</v>
      </c>
      <c r="G195">
        <v>0</v>
      </c>
      <c r="H195">
        <v>0</v>
      </c>
      <c r="I195">
        <v>467</v>
      </c>
      <c r="J195">
        <v>59</v>
      </c>
      <c r="K195">
        <v>0</v>
      </c>
      <c r="L195" s="1">
        <v>45456</v>
      </c>
      <c r="M195">
        <f t="shared" ref="M195:M258" si="6">I195-J195</f>
        <v>408</v>
      </c>
      <c r="N195">
        <f t="shared" ref="N195:N258" si="7">M195-H195-K195</f>
        <v>408</v>
      </c>
    </row>
    <row r="196" spans="1:14" x14ac:dyDescent="0.2">
      <c r="A196" t="s">
        <v>21</v>
      </c>
      <c r="B196" s="1">
        <v>45441</v>
      </c>
      <c r="C196" t="s">
        <v>16</v>
      </c>
      <c r="D196">
        <v>2</v>
      </c>
      <c r="E196" s="1">
        <v>45468</v>
      </c>
      <c r="F196" t="s">
        <v>131</v>
      </c>
      <c r="G196">
        <v>100</v>
      </c>
      <c r="H196">
        <v>50</v>
      </c>
      <c r="I196">
        <v>34</v>
      </c>
      <c r="J196">
        <v>28</v>
      </c>
      <c r="K196">
        <v>3</v>
      </c>
      <c r="L196" s="1">
        <v>45476</v>
      </c>
      <c r="M196">
        <f t="shared" si="6"/>
        <v>6</v>
      </c>
      <c r="N196">
        <f t="shared" si="7"/>
        <v>-47</v>
      </c>
    </row>
    <row r="197" spans="1:14" x14ac:dyDescent="0.2">
      <c r="A197" t="s">
        <v>54</v>
      </c>
      <c r="B197" s="1">
        <v>45458</v>
      </c>
      <c r="C197" t="s">
        <v>16</v>
      </c>
      <c r="D197">
        <v>2</v>
      </c>
      <c r="E197" s="1">
        <v>45490</v>
      </c>
      <c r="F197" t="s">
        <v>129</v>
      </c>
      <c r="G197">
        <v>100</v>
      </c>
      <c r="H197">
        <v>50</v>
      </c>
      <c r="I197">
        <v>71</v>
      </c>
      <c r="J197">
        <v>34</v>
      </c>
      <c r="K197">
        <v>3</v>
      </c>
      <c r="L197" s="1">
        <v>45519</v>
      </c>
      <c r="M197">
        <f t="shared" si="6"/>
        <v>37</v>
      </c>
      <c r="N197">
        <f t="shared" si="7"/>
        <v>-16</v>
      </c>
    </row>
    <row r="198" spans="1:14" x14ac:dyDescent="0.2">
      <c r="A198" t="s">
        <v>110</v>
      </c>
      <c r="B198" s="1">
        <v>45357</v>
      </c>
      <c r="C198" t="s">
        <v>19</v>
      </c>
      <c r="D198">
        <v>1</v>
      </c>
      <c r="E198" s="1">
        <v>45433</v>
      </c>
      <c r="F198" t="s">
        <v>129</v>
      </c>
      <c r="G198">
        <v>50</v>
      </c>
      <c r="H198">
        <v>25</v>
      </c>
      <c r="I198">
        <v>710</v>
      </c>
      <c r="J198">
        <v>664</v>
      </c>
      <c r="K198">
        <v>1.5</v>
      </c>
      <c r="L198" s="1">
        <v>45439</v>
      </c>
      <c r="M198">
        <f t="shared" si="6"/>
        <v>46</v>
      </c>
      <c r="N198">
        <f t="shared" si="7"/>
        <v>19.5</v>
      </c>
    </row>
    <row r="199" spans="1:14" x14ac:dyDescent="0.2">
      <c r="A199" t="s">
        <v>54</v>
      </c>
      <c r="B199" s="1">
        <v>45460</v>
      </c>
      <c r="C199" t="s">
        <v>22</v>
      </c>
      <c r="D199">
        <v>2</v>
      </c>
      <c r="E199" s="1">
        <v>45558</v>
      </c>
      <c r="F199" t="s">
        <v>129</v>
      </c>
      <c r="G199">
        <v>0</v>
      </c>
      <c r="H199">
        <v>0</v>
      </c>
      <c r="I199">
        <v>97</v>
      </c>
      <c r="J199">
        <v>31</v>
      </c>
      <c r="K199">
        <v>0</v>
      </c>
      <c r="L199" s="1">
        <v>45583</v>
      </c>
      <c r="M199">
        <f t="shared" si="6"/>
        <v>66</v>
      </c>
      <c r="N199">
        <f t="shared" si="7"/>
        <v>66</v>
      </c>
    </row>
    <row r="200" spans="1:14" x14ac:dyDescent="0.2">
      <c r="A200" t="s">
        <v>43</v>
      </c>
      <c r="B200" s="1">
        <v>45418</v>
      </c>
      <c r="C200" t="s">
        <v>13</v>
      </c>
      <c r="D200">
        <v>2</v>
      </c>
      <c r="E200" s="1">
        <v>45476</v>
      </c>
      <c r="F200" t="s">
        <v>131</v>
      </c>
      <c r="G200">
        <v>20</v>
      </c>
      <c r="H200">
        <v>0</v>
      </c>
      <c r="I200">
        <v>858</v>
      </c>
      <c r="J200">
        <v>553</v>
      </c>
      <c r="K200">
        <v>0.6</v>
      </c>
      <c r="L200" s="1">
        <v>45487</v>
      </c>
      <c r="M200">
        <f t="shared" si="6"/>
        <v>305</v>
      </c>
      <c r="N200">
        <f t="shared" si="7"/>
        <v>304.39999999999998</v>
      </c>
    </row>
    <row r="201" spans="1:14" x14ac:dyDescent="0.2">
      <c r="A201" t="s">
        <v>34</v>
      </c>
      <c r="B201" s="1">
        <v>45313</v>
      </c>
      <c r="C201" t="s">
        <v>16</v>
      </c>
      <c r="D201">
        <v>2</v>
      </c>
      <c r="E201" s="1">
        <v>45380</v>
      </c>
      <c r="F201" t="s">
        <v>130</v>
      </c>
      <c r="G201">
        <v>100</v>
      </c>
      <c r="H201">
        <v>20</v>
      </c>
      <c r="I201">
        <v>924</v>
      </c>
      <c r="J201">
        <v>782</v>
      </c>
      <c r="K201">
        <v>3</v>
      </c>
      <c r="L201" s="1">
        <v>45408</v>
      </c>
      <c r="M201">
        <f t="shared" si="6"/>
        <v>142</v>
      </c>
      <c r="N201">
        <f t="shared" si="7"/>
        <v>119</v>
      </c>
    </row>
    <row r="202" spans="1:14" x14ac:dyDescent="0.2">
      <c r="A202" t="s">
        <v>21</v>
      </c>
      <c r="B202" s="1">
        <v>45470</v>
      </c>
      <c r="C202" t="s">
        <v>26</v>
      </c>
      <c r="D202">
        <v>3</v>
      </c>
      <c r="E202" s="1">
        <v>45620</v>
      </c>
      <c r="F202" t="s">
        <v>128</v>
      </c>
      <c r="G202">
        <v>20</v>
      </c>
      <c r="H202">
        <v>10</v>
      </c>
      <c r="I202">
        <v>157</v>
      </c>
      <c r="J202">
        <v>43</v>
      </c>
      <c r="K202">
        <v>0.6</v>
      </c>
      <c r="L202" s="1">
        <v>45635</v>
      </c>
      <c r="M202">
        <f t="shared" si="6"/>
        <v>114</v>
      </c>
      <c r="N202">
        <f t="shared" si="7"/>
        <v>103.4</v>
      </c>
    </row>
    <row r="203" spans="1:14" x14ac:dyDescent="0.2">
      <c r="A203" t="s">
        <v>34</v>
      </c>
      <c r="B203" s="1">
        <v>45324</v>
      </c>
      <c r="C203" t="s">
        <v>22</v>
      </c>
      <c r="D203">
        <v>1</v>
      </c>
      <c r="E203" s="1">
        <v>45429</v>
      </c>
      <c r="F203" t="s">
        <v>129</v>
      </c>
      <c r="G203">
        <v>0</v>
      </c>
      <c r="H203">
        <v>0</v>
      </c>
      <c r="I203">
        <v>861</v>
      </c>
      <c r="J203">
        <v>213</v>
      </c>
      <c r="K203">
        <v>0</v>
      </c>
      <c r="L203" s="1">
        <v>45435</v>
      </c>
      <c r="M203">
        <f t="shared" si="6"/>
        <v>648</v>
      </c>
      <c r="N203">
        <f t="shared" si="7"/>
        <v>648</v>
      </c>
    </row>
    <row r="204" spans="1:14" x14ac:dyDescent="0.2">
      <c r="A204" t="s">
        <v>103</v>
      </c>
      <c r="B204" s="1">
        <v>45347</v>
      </c>
      <c r="C204" t="s">
        <v>16</v>
      </c>
      <c r="D204">
        <v>2</v>
      </c>
      <c r="E204" s="1">
        <v>45382</v>
      </c>
      <c r="F204" t="s">
        <v>128</v>
      </c>
      <c r="G204">
        <v>100</v>
      </c>
      <c r="H204">
        <v>50</v>
      </c>
      <c r="I204">
        <v>182</v>
      </c>
      <c r="J204">
        <v>179</v>
      </c>
      <c r="K204">
        <v>3</v>
      </c>
      <c r="L204" s="1">
        <v>45389</v>
      </c>
      <c r="M204">
        <f t="shared" si="6"/>
        <v>3</v>
      </c>
      <c r="N204">
        <f t="shared" si="7"/>
        <v>-50</v>
      </c>
    </row>
    <row r="205" spans="1:14" x14ac:dyDescent="0.2">
      <c r="A205" t="s">
        <v>69</v>
      </c>
      <c r="B205" s="1">
        <v>45328</v>
      </c>
      <c r="C205" t="s">
        <v>19</v>
      </c>
      <c r="D205">
        <v>1</v>
      </c>
      <c r="E205" s="1">
        <v>45477</v>
      </c>
      <c r="F205" t="s">
        <v>131</v>
      </c>
      <c r="G205">
        <v>0</v>
      </c>
      <c r="H205">
        <v>0</v>
      </c>
      <c r="I205">
        <v>323</v>
      </c>
      <c r="J205">
        <v>65</v>
      </c>
      <c r="K205">
        <v>0</v>
      </c>
      <c r="L205" s="1">
        <v>45498</v>
      </c>
      <c r="M205">
        <f t="shared" si="6"/>
        <v>258</v>
      </c>
      <c r="N205">
        <f t="shared" si="7"/>
        <v>258</v>
      </c>
    </row>
    <row r="206" spans="1:14" x14ac:dyDescent="0.2">
      <c r="A206" t="s">
        <v>106</v>
      </c>
      <c r="B206" s="1">
        <v>45394</v>
      </c>
      <c r="C206" t="s">
        <v>19</v>
      </c>
      <c r="D206">
        <v>1</v>
      </c>
      <c r="E206" s="1">
        <v>45520</v>
      </c>
      <c r="F206" t="s">
        <v>129</v>
      </c>
      <c r="G206">
        <v>100</v>
      </c>
      <c r="H206">
        <v>50</v>
      </c>
      <c r="I206">
        <v>298</v>
      </c>
      <c r="J206">
        <v>78</v>
      </c>
      <c r="K206">
        <v>3</v>
      </c>
      <c r="L206" s="1">
        <v>45530</v>
      </c>
      <c r="M206">
        <f t="shared" si="6"/>
        <v>220</v>
      </c>
      <c r="N206">
        <f t="shared" si="7"/>
        <v>167</v>
      </c>
    </row>
    <row r="207" spans="1:14" x14ac:dyDescent="0.2">
      <c r="A207" t="s">
        <v>54</v>
      </c>
      <c r="B207" s="1">
        <v>45364</v>
      </c>
      <c r="C207" t="s">
        <v>26</v>
      </c>
      <c r="D207">
        <v>3</v>
      </c>
      <c r="E207" s="1">
        <v>45537</v>
      </c>
      <c r="F207" t="s">
        <v>130</v>
      </c>
      <c r="G207">
        <v>100</v>
      </c>
      <c r="H207">
        <v>0</v>
      </c>
      <c r="I207">
        <v>238</v>
      </c>
      <c r="J207">
        <v>5</v>
      </c>
      <c r="K207">
        <v>3</v>
      </c>
      <c r="L207" s="1">
        <v>45561</v>
      </c>
      <c r="M207">
        <f t="shared" si="6"/>
        <v>233</v>
      </c>
      <c r="N207">
        <f t="shared" si="7"/>
        <v>230</v>
      </c>
    </row>
    <row r="208" spans="1:14" x14ac:dyDescent="0.2">
      <c r="A208" t="s">
        <v>111</v>
      </c>
      <c r="B208" s="1">
        <v>45470</v>
      </c>
      <c r="C208" t="s">
        <v>22</v>
      </c>
      <c r="D208">
        <v>3</v>
      </c>
      <c r="E208" s="1">
        <v>45473</v>
      </c>
      <c r="F208" t="s">
        <v>128</v>
      </c>
      <c r="G208">
        <v>20</v>
      </c>
      <c r="H208">
        <v>10</v>
      </c>
      <c r="I208">
        <v>415</v>
      </c>
      <c r="J208">
        <v>241</v>
      </c>
      <c r="K208">
        <v>0.6</v>
      </c>
      <c r="L208" s="1">
        <v>45475</v>
      </c>
      <c r="M208">
        <f t="shared" si="6"/>
        <v>174</v>
      </c>
      <c r="N208">
        <f t="shared" si="7"/>
        <v>163.4</v>
      </c>
    </row>
    <row r="209" spans="1:14" x14ac:dyDescent="0.2">
      <c r="A209" t="s">
        <v>103</v>
      </c>
      <c r="B209" s="1">
        <v>45374</v>
      </c>
      <c r="C209" t="s">
        <v>22</v>
      </c>
      <c r="D209">
        <v>2</v>
      </c>
      <c r="E209" s="1">
        <v>45385</v>
      </c>
      <c r="F209" t="s">
        <v>131</v>
      </c>
      <c r="G209">
        <v>500</v>
      </c>
      <c r="H209">
        <v>100</v>
      </c>
      <c r="I209">
        <v>578</v>
      </c>
      <c r="J209">
        <v>140</v>
      </c>
      <c r="K209">
        <v>15</v>
      </c>
      <c r="L209" s="1">
        <v>45391</v>
      </c>
      <c r="M209">
        <f t="shared" si="6"/>
        <v>438</v>
      </c>
      <c r="N209">
        <f t="shared" si="7"/>
        <v>323</v>
      </c>
    </row>
    <row r="210" spans="1:14" x14ac:dyDescent="0.2">
      <c r="A210" t="s">
        <v>74</v>
      </c>
      <c r="B210" s="1">
        <v>45378</v>
      </c>
      <c r="C210" t="s">
        <v>19</v>
      </c>
      <c r="D210">
        <v>1</v>
      </c>
      <c r="E210" s="1">
        <v>45409</v>
      </c>
      <c r="F210" t="s">
        <v>129</v>
      </c>
      <c r="G210">
        <v>500</v>
      </c>
      <c r="H210">
        <v>100</v>
      </c>
      <c r="I210">
        <v>219</v>
      </c>
      <c r="J210">
        <v>185</v>
      </c>
      <c r="K210">
        <v>15</v>
      </c>
      <c r="L210" s="1">
        <v>45423</v>
      </c>
      <c r="M210">
        <f t="shared" si="6"/>
        <v>34</v>
      </c>
      <c r="N210">
        <f t="shared" si="7"/>
        <v>-81</v>
      </c>
    </row>
    <row r="211" spans="1:14" x14ac:dyDescent="0.2">
      <c r="A211" t="s">
        <v>69</v>
      </c>
      <c r="B211" s="1">
        <v>45334</v>
      </c>
      <c r="C211" t="s">
        <v>26</v>
      </c>
      <c r="D211">
        <v>1</v>
      </c>
      <c r="E211" s="1">
        <v>45363</v>
      </c>
      <c r="F211" t="s">
        <v>131</v>
      </c>
      <c r="G211">
        <v>200</v>
      </c>
      <c r="H211">
        <v>0</v>
      </c>
      <c r="I211">
        <v>568</v>
      </c>
      <c r="J211">
        <v>378</v>
      </c>
      <c r="K211">
        <v>6</v>
      </c>
      <c r="L211" s="1">
        <v>45388</v>
      </c>
      <c r="M211">
        <f t="shared" si="6"/>
        <v>190</v>
      </c>
      <c r="N211">
        <f t="shared" si="7"/>
        <v>184</v>
      </c>
    </row>
    <row r="212" spans="1:14" x14ac:dyDescent="0.2">
      <c r="A212" t="s">
        <v>12</v>
      </c>
      <c r="B212" s="1">
        <v>45309</v>
      </c>
      <c r="C212" t="s">
        <v>26</v>
      </c>
      <c r="D212">
        <v>1</v>
      </c>
      <c r="E212" s="1">
        <v>45405</v>
      </c>
      <c r="F212" t="s">
        <v>131</v>
      </c>
      <c r="G212">
        <v>100</v>
      </c>
      <c r="H212">
        <v>20</v>
      </c>
      <c r="I212">
        <v>858</v>
      </c>
      <c r="J212">
        <v>419</v>
      </c>
      <c r="K212">
        <v>3</v>
      </c>
      <c r="L212" s="1">
        <v>45425</v>
      </c>
      <c r="M212">
        <f t="shared" si="6"/>
        <v>439</v>
      </c>
      <c r="N212">
        <f t="shared" si="7"/>
        <v>416</v>
      </c>
    </row>
    <row r="213" spans="1:14" x14ac:dyDescent="0.2">
      <c r="A213" t="s">
        <v>43</v>
      </c>
      <c r="B213" s="1">
        <v>45310</v>
      </c>
      <c r="C213" t="s">
        <v>16</v>
      </c>
      <c r="D213">
        <v>2</v>
      </c>
      <c r="E213" s="1">
        <v>45362</v>
      </c>
      <c r="F213" t="s">
        <v>128</v>
      </c>
      <c r="G213">
        <v>20</v>
      </c>
      <c r="H213">
        <v>0</v>
      </c>
      <c r="I213">
        <v>214</v>
      </c>
      <c r="J213">
        <v>136</v>
      </c>
      <c r="K213">
        <v>0.6</v>
      </c>
      <c r="L213" s="1">
        <v>45373</v>
      </c>
      <c r="M213">
        <f t="shared" si="6"/>
        <v>78</v>
      </c>
      <c r="N213">
        <f t="shared" si="7"/>
        <v>77.400000000000006</v>
      </c>
    </row>
    <row r="214" spans="1:14" x14ac:dyDescent="0.2">
      <c r="A214" t="s">
        <v>90</v>
      </c>
      <c r="B214" s="1">
        <v>45367</v>
      </c>
      <c r="C214" t="s">
        <v>16</v>
      </c>
      <c r="D214">
        <v>1</v>
      </c>
      <c r="E214" s="1">
        <v>45500</v>
      </c>
      <c r="F214" t="s">
        <v>129</v>
      </c>
      <c r="G214">
        <v>500</v>
      </c>
      <c r="H214">
        <v>100</v>
      </c>
      <c r="I214">
        <v>277</v>
      </c>
      <c r="J214">
        <v>27</v>
      </c>
      <c r="K214">
        <v>15</v>
      </c>
      <c r="L214" s="1">
        <v>45514</v>
      </c>
      <c r="M214">
        <f t="shared" si="6"/>
        <v>250</v>
      </c>
      <c r="N214">
        <f t="shared" si="7"/>
        <v>135</v>
      </c>
    </row>
    <row r="215" spans="1:14" x14ac:dyDescent="0.2">
      <c r="A215" t="s">
        <v>103</v>
      </c>
      <c r="B215" s="1">
        <v>45471</v>
      </c>
      <c r="C215" t="s">
        <v>22</v>
      </c>
      <c r="D215">
        <v>3</v>
      </c>
      <c r="E215" s="1">
        <v>45502</v>
      </c>
      <c r="F215" t="s">
        <v>130</v>
      </c>
      <c r="G215">
        <v>500</v>
      </c>
      <c r="H215">
        <v>0</v>
      </c>
      <c r="I215">
        <v>531</v>
      </c>
      <c r="J215">
        <v>173</v>
      </c>
      <c r="K215">
        <v>15</v>
      </c>
      <c r="L215" s="1">
        <v>45515</v>
      </c>
      <c r="M215">
        <f t="shared" si="6"/>
        <v>358</v>
      </c>
      <c r="N215">
        <f t="shared" si="7"/>
        <v>343</v>
      </c>
    </row>
    <row r="216" spans="1:14" x14ac:dyDescent="0.2">
      <c r="A216" t="s">
        <v>72</v>
      </c>
      <c r="B216" s="1">
        <v>45306</v>
      </c>
      <c r="C216" t="s">
        <v>22</v>
      </c>
      <c r="D216">
        <v>2</v>
      </c>
      <c r="E216" s="1">
        <v>45315</v>
      </c>
      <c r="F216" t="s">
        <v>130</v>
      </c>
      <c r="G216">
        <v>50</v>
      </c>
      <c r="H216">
        <v>10</v>
      </c>
      <c r="I216">
        <v>976</v>
      </c>
      <c r="J216">
        <v>352</v>
      </c>
      <c r="K216">
        <v>1.5</v>
      </c>
      <c r="L216" s="1">
        <v>45329</v>
      </c>
      <c r="M216">
        <f t="shared" si="6"/>
        <v>624</v>
      </c>
      <c r="N216">
        <f t="shared" si="7"/>
        <v>612.5</v>
      </c>
    </row>
    <row r="217" spans="1:14" x14ac:dyDescent="0.2">
      <c r="A217" t="s">
        <v>47</v>
      </c>
      <c r="B217" s="1">
        <v>45346</v>
      </c>
      <c r="C217" t="s">
        <v>16</v>
      </c>
      <c r="D217">
        <v>1</v>
      </c>
      <c r="E217" s="1">
        <v>45390</v>
      </c>
      <c r="F217" t="s">
        <v>128</v>
      </c>
      <c r="G217">
        <v>50</v>
      </c>
      <c r="H217">
        <v>0</v>
      </c>
      <c r="I217">
        <v>929</v>
      </c>
      <c r="J217">
        <v>88</v>
      </c>
      <c r="K217">
        <v>1.5</v>
      </c>
      <c r="L217" s="1">
        <v>45393</v>
      </c>
      <c r="M217">
        <f t="shared" si="6"/>
        <v>841</v>
      </c>
      <c r="N217">
        <f t="shared" si="7"/>
        <v>839.5</v>
      </c>
    </row>
    <row r="218" spans="1:14" x14ac:dyDescent="0.2">
      <c r="A218" t="s">
        <v>106</v>
      </c>
      <c r="B218" s="1">
        <v>45465</v>
      </c>
      <c r="C218" t="s">
        <v>16</v>
      </c>
      <c r="D218">
        <v>1</v>
      </c>
      <c r="E218" s="1">
        <v>45533</v>
      </c>
      <c r="F218" t="s">
        <v>129</v>
      </c>
      <c r="G218">
        <v>0</v>
      </c>
      <c r="H218">
        <v>0</v>
      </c>
      <c r="I218">
        <v>934</v>
      </c>
      <c r="J218">
        <v>553</v>
      </c>
      <c r="K218">
        <v>0</v>
      </c>
      <c r="L218" s="1">
        <v>45551</v>
      </c>
      <c r="M218">
        <f t="shared" si="6"/>
        <v>381</v>
      </c>
      <c r="N218">
        <f t="shared" si="7"/>
        <v>381</v>
      </c>
    </row>
    <row r="219" spans="1:14" x14ac:dyDescent="0.2">
      <c r="A219" t="s">
        <v>23</v>
      </c>
      <c r="B219" s="1">
        <v>45466</v>
      </c>
      <c r="C219" t="s">
        <v>22</v>
      </c>
      <c r="D219">
        <v>1</v>
      </c>
      <c r="E219" s="1">
        <v>45632</v>
      </c>
      <c r="F219" t="s">
        <v>131</v>
      </c>
      <c r="G219">
        <v>500</v>
      </c>
      <c r="H219">
        <v>0</v>
      </c>
      <c r="I219">
        <v>95</v>
      </c>
      <c r="J219">
        <v>3</v>
      </c>
      <c r="K219">
        <v>15</v>
      </c>
      <c r="L219" s="1">
        <v>45658</v>
      </c>
      <c r="M219">
        <f t="shared" si="6"/>
        <v>92</v>
      </c>
      <c r="N219">
        <f t="shared" si="7"/>
        <v>77</v>
      </c>
    </row>
    <row r="220" spans="1:14" x14ac:dyDescent="0.2">
      <c r="A220" t="s">
        <v>93</v>
      </c>
      <c r="B220" s="1">
        <v>45398</v>
      </c>
      <c r="C220" t="s">
        <v>19</v>
      </c>
      <c r="D220">
        <v>3</v>
      </c>
      <c r="E220" s="1">
        <v>45529</v>
      </c>
      <c r="F220" t="s">
        <v>130</v>
      </c>
      <c r="G220">
        <v>0</v>
      </c>
      <c r="H220">
        <v>0</v>
      </c>
      <c r="I220">
        <v>854</v>
      </c>
      <c r="J220">
        <v>227</v>
      </c>
      <c r="K220">
        <v>0</v>
      </c>
      <c r="L220" s="1">
        <v>45557</v>
      </c>
      <c r="M220">
        <f t="shared" si="6"/>
        <v>627</v>
      </c>
      <c r="N220">
        <f t="shared" si="7"/>
        <v>627</v>
      </c>
    </row>
    <row r="221" spans="1:14" x14ac:dyDescent="0.2">
      <c r="A221" t="s">
        <v>69</v>
      </c>
      <c r="B221" s="1">
        <v>45332</v>
      </c>
      <c r="C221" t="s">
        <v>22</v>
      </c>
      <c r="D221">
        <v>1</v>
      </c>
      <c r="E221" s="1">
        <v>45444</v>
      </c>
      <c r="F221" t="s">
        <v>128</v>
      </c>
      <c r="G221">
        <v>50</v>
      </c>
      <c r="H221">
        <v>25</v>
      </c>
      <c r="I221">
        <v>435</v>
      </c>
      <c r="J221">
        <v>286</v>
      </c>
      <c r="K221">
        <v>1.5</v>
      </c>
      <c r="L221" s="1">
        <v>45459</v>
      </c>
      <c r="M221">
        <f t="shared" si="6"/>
        <v>149</v>
      </c>
      <c r="N221">
        <f t="shared" si="7"/>
        <v>122.5</v>
      </c>
    </row>
    <row r="222" spans="1:14" x14ac:dyDescent="0.2">
      <c r="A222" t="s">
        <v>59</v>
      </c>
      <c r="B222" s="1">
        <v>45310</v>
      </c>
      <c r="C222" t="s">
        <v>26</v>
      </c>
      <c r="D222">
        <v>1</v>
      </c>
      <c r="E222" s="1">
        <v>45445</v>
      </c>
      <c r="F222" t="s">
        <v>130</v>
      </c>
      <c r="G222">
        <v>500</v>
      </c>
      <c r="H222">
        <v>0</v>
      </c>
      <c r="I222">
        <v>163</v>
      </c>
      <c r="J222">
        <v>154</v>
      </c>
      <c r="K222">
        <v>15</v>
      </c>
      <c r="L222" s="1">
        <v>45458</v>
      </c>
      <c r="M222">
        <f t="shared" si="6"/>
        <v>9</v>
      </c>
      <c r="N222">
        <f t="shared" si="7"/>
        <v>-6</v>
      </c>
    </row>
    <row r="223" spans="1:14" x14ac:dyDescent="0.2">
      <c r="A223" t="s">
        <v>42</v>
      </c>
      <c r="B223" s="1">
        <v>45400</v>
      </c>
      <c r="C223" t="s">
        <v>16</v>
      </c>
      <c r="D223">
        <v>3</v>
      </c>
      <c r="E223" s="1">
        <v>45491</v>
      </c>
      <c r="F223" t="s">
        <v>128</v>
      </c>
      <c r="G223">
        <v>50</v>
      </c>
      <c r="H223">
        <v>25</v>
      </c>
      <c r="I223">
        <v>897</v>
      </c>
      <c r="J223">
        <v>201</v>
      </c>
      <c r="K223">
        <v>1.5</v>
      </c>
      <c r="L223" s="1">
        <v>45508</v>
      </c>
      <c r="M223">
        <f t="shared" si="6"/>
        <v>696</v>
      </c>
      <c r="N223">
        <f t="shared" si="7"/>
        <v>669.5</v>
      </c>
    </row>
    <row r="224" spans="1:14" x14ac:dyDescent="0.2">
      <c r="A224" t="s">
        <v>99</v>
      </c>
      <c r="B224" s="1">
        <v>45399</v>
      </c>
      <c r="C224" t="s">
        <v>26</v>
      </c>
      <c r="D224">
        <v>3</v>
      </c>
      <c r="E224" s="1">
        <v>45491</v>
      </c>
      <c r="F224" t="s">
        <v>129</v>
      </c>
      <c r="G224">
        <v>100</v>
      </c>
      <c r="H224">
        <v>50</v>
      </c>
      <c r="I224">
        <v>226</v>
      </c>
      <c r="J224">
        <v>221</v>
      </c>
      <c r="K224">
        <v>3</v>
      </c>
      <c r="L224" s="1">
        <v>45509</v>
      </c>
      <c r="M224">
        <f t="shared" si="6"/>
        <v>5</v>
      </c>
      <c r="N224">
        <f t="shared" si="7"/>
        <v>-48</v>
      </c>
    </row>
    <row r="225" spans="1:14" x14ac:dyDescent="0.2">
      <c r="A225" t="s">
        <v>104</v>
      </c>
      <c r="B225" s="1">
        <v>45305</v>
      </c>
      <c r="C225" t="s">
        <v>22</v>
      </c>
      <c r="D225">
        <v>2</v>
      </c>
      <c r="E225" s="1">
        <v>45451</v>
      </c>
      <c r="F225" t="s">
        <v>129</v>
      </c>
      <c r="G225">
        <v>20</v>
      </c>
      <c r="H225">
        <v>0</v>
      </c>
      <c r="I225">
        <v>74</v>
      </c>
      <c r="J225">
        <v>48</v>
      </c>
      <c r="K225">
        <v>0.6</v>
      </c>
      <c r="L225" s="1">
        <v>45458</v>
      </c>
      <c r="M225">
        <f t="shared" si="6"/>
        <v>26</v>
      </c>
      <c r="N225">
        <f t="shared" si="7"/>
        <v>25.4</v>
      </c>
    </row>
    <row r="226" spans="1:14" x14ac:dyDescent="0.2">
      <c r="A226" t="s">
        <v>112</v>
      </c>
      <c r="B226" s="1">
        <v>45379</v>
      </c>
      <c r="C226" t="s">
        <v>22</v>
      </c>
      <c r="D226">
        <v>1</v>
      </c>
      <c r="E226" s="1">
        <v>45475</v>
      </c>
      <c r="F226" t="s">
        <v>130</v>
      </c>
      <c r="G226">
        <v>20</v>
      </c>
      <c r="H226">
        <v>0</v>
      </c>
      <c r="I226">
        <v>178</v>
      </c>
      <c r="J226">
        <v>2</v>
      </c>
      <c r="K226">
        <v>0.6</v>
      </c>
      <c r="L226" s="1">
        <v>45488</v>
      </c>
      <c r="M226">
        <f t="shared" si="6"/>
        <v>176</v>
      </c>
      <c r="N226">
        <f t="shared" si="7"/>
        <v>175.4</v>
      </c>
    </row>
    <row r="227" spans="1:14" x14ac:dyDescent="0.2">
      <c r="A227" t="s">
        <v>38</v>
      </c>
      <c r="B227" s="1">
        <v>45330</v>
      </c>
      <c r="C227" t="s">
        <v>16</v>
      </c>
      <c r="D227">
        <v>2</v>
      </c>
      <c r="E227" s="1">
        <v>45495</v>
      </c>
      <c r="F227" t="s">
        <v>129</v>
      </c>
      <c r="G227">
        <v>20</v>
      </c>
      <c r="H227">
        <v>10</v>
      </c>
      <c r="I227">
        <v>259</v>
      </c>
      <c r="J227">
        <v>1</v>
      </c>
      <c r="K227">
        <v>0.6</v>
      </c>
      <c r="L227" s="1">
        <v>45516</v>
      </c>
      <c r="M227">
        <f t="shared" si="6"/>
        <v>258</v>
      </c>
      <c r="N227">
        <f t="shared" si="7"/>
        <v>247.4</v>
      </c>
    </row>
    <row r="228" spans="1:14" x14ac:dyDescent="0.2">
      <c r="A228" t="s">
        <v>113</v>
      </c>
      <c r="B228" s="1">
        <v>45341</v>
      </c>
      <c r="C228" t="s">
        <v>16</v>
      </c>
      <c r="D228">
        <v>2</v>
      </c>
      <c r="E228" s="1">
        <v>45409</v>
      </c>
      <c r="F228" t="s">
        <v>130</v>
      </c>
      <c r="G228">
        <v>200</v>
      </c>
      <c r="H228">
        <v>40</v>
      </c>
      <c r="I228">
        <v>800</v>
      </c>
      <c r="J228">
        <v>125</v>
      </c>
      <c r="K228">
        <v>6</v>
      </c>
      <c r="L228" s="1">
        <v>45418</v>
      </c>
      <c r="M228">
        <f t="shared" si="6"/>
        <v>675</v>
      </c>
      <c r="N228">
        <f t="shared" si="7"/>
        <v>629</v>
      </c>
    </row>
    <row r="229" spans="1:14" x14ac:dyDescent="0.2">
      <c r="A229" t="s">
        <v>61</v>
      </c>
      <c r="B229" s="1">
        <v>45356</v>
      </c>
      <c r="C229" t="s">
        <v>26</v>
      </c>
      <c r="D229">
        <v>3</v>
      </c>
      <c r="E229" s="1">
        <v>45512</v>
      </c>
      <c r="F229" t="s">
        <v>129</v>
      </c>
      <c r="G229">
        <v>500</v>
      </c>
      <c r="H229">
        <v>250</v>
      </c>
      <c r="I229">
        <v>197</v>
      </c>
      <c r="J229">
        <v>54</v>
      </c>
      <c r="K229">
        <v>15</v>
      </c>
      <c r="L229" s="1">
        <v>45534</v>
      </c>
      <c r="M229">
        <f t="shared" si="6"/>
        <v>143</v>
      </c>
      <c r="N229">
        <f t="shared" si="7"/>
        <v>-122</v>
      </c>
    </row>
    <row r="230" spans="1:14" x14ac:dyDescent="0.2">
      <c r="A230" t="s">
        <v>84</v>
      </c>
      <c r="B230" s="1">
        <v>45379</v>
      </c>
      <c r="C230" t="s">
        <v>19</v>
      </c>
      <c r="D230">
        <v>2</v>
      </c>
      <c r="E230" s="1">
        <v>45407</v>
      </c>
      <c r="F230" t="s">
        <v>128</v>
      </c>
      <c r="G230">
        <v>0</v>
      </c>
      <c r="H230">
        <v>0</v>
      </c>
      <c r="I230">
        <v>470</v>
      </c>
      <c r="J230">
        <v>121</v>
      </c>
      <c r="K230">
        <v>0</v>
      </c>
      <c r="L230" s="1">
        <v>45411</v>
      </c>
      <c r="M230">
        <f t="shared" si="6"/>
        <v>349</v>
      </c>
      <c r="N230">
        <f t="shared" si="7"/>
        <v>349</v>
      </c>
    </row>
    <row r="231" spans="1:14" x14ac:dyDescent="0.2">
      <c r="A231" t="s">
        <v>36</v>
      </c>
      <c r="B231" s="1">
        <v>45441</v>
      </c>
      <c r="C231" t="s">
        <v>13</v>
      </c>
      <c r="D231">
        <v>3</v>
      </c>
      <c r="E231" s="1">
        <v>45472</v>
      </c>
      <c r="F231" t="s">
        <v>128</v>
      </c>
      <c r="G231">
        <v>500</v>
      </c>
      <c r="H231">
        <v>100</v>
      </c>
      <c r="I231">
        <v>574</v>
      </c>
      <c r="J231">
        <v>356</v>
      </c>
      <c r="K231">
        <v>15</v>
      </c>
      <c r="L231" s="1">
        <v>45500</v>
      </c>
      <c r="M231">
        <f t="shared" si="6"/>
        <v>218</v>
      </c>
      <c r="N231">
        <f t="shared" si="7"/>
        <v>103</v>
      </c>
    </row>
    <row r="232" spans="1:14" x14ac:dyDescent="0.2">
      <c r="A232" t="s">
        <v>27</v>
      </c>
      <c r="B232" s="1">
        <v>45358</v>
      </c>
      <c r="C232" t="s">
        <v>16</v>
      </c>
      <c r="D232">
        <v>3</v>
      </c>
      <c r="E232" s="1">
        <v>45461</v>
      </c>
      <c r="F232" t="s">
        <v>129</v>
      </c>
      <c r="G232">
        <v>200</v>
      </c>
      <c r="H232">
        <v>0</v>
      </c>
      <c r="I232">
        <v>130</v>
      </c>
      <c r="J232">
        <v>30</v>
      </c>
      <c r="K232">
        <v>6</v>
      </c>
      <c r="L232" s="1">
        <v>45461</v>
      </c>
      <c r="M232">
        <f t="shared" si="6"/>
        <v>100</v>
      </c>
      <c r="N232">
        <f t="shared" si="7"/>
        <v>94</v>
      </c>
    </row>
    <row r="233" spans="1:14" x14ac:dyDescent="0.2">
      <c r="A233" t="s">
        <v>12</v>
      </c>
      <c r="B233" s="1">
        <v>45433</v>
      </c>
      <c r="C233" t="s">
        <v>22</v>
      </c>
      <c r="D233">
        <v>1</v>
      </c>
      <c r="E233" s="1">
        <v>45512</v>
      </c>
      <c r="F233" t="s">
        <v>129</v>
      </c>
      <c r="G233">
        <v>20</v>
      </c>
      <c r="H233">
        <v>4</v>
      </c>
      <c r="I233">
        <v>638</v>
      </c>
      <c r="J233">
        <v>630</v>
      </c>
      <c r="K233">
        <v>0.6</v>
      </c>
      <c r="L233" s="1">
        <v>45518</v>
      </c>
      <c r="M233">
        <f t="shared" si="6"/>
        <v>8</v>
      </c>
      <c r="N233">
        <f t="shared" si="7"/>
        <v>3.4</v>
      </c>
    </row>
    <row r="234" spans="1:14" x14ac:dyDescent="0.2">
      <c r="A234" t="s">
        <v>91</v>
      </c>
      <c r="B234" s="1">
        <v>45433</v>
      </c>
      <c r="C234" t="s">
        <v>19</v>
      </c>
      <c r="D234">
        <v>3</v>
      </c>
      <c r="E234" s="1">
        <v>45594</v>
      </c>
      <c r="F234" t="s">
        <v>131</v>
      </c>
      <c r="G234">
        <v>100</v>
      </c>
      <c r="H234">
        <v>20</v>
      </c>
      <c r="I234">
        <v>803</v>
      </c>
      <c r="J234">
        <v>503</v>
      </c>
      <c r="K234">
        <v>3</v>
      </c>
      <c r="L234" s="1">
        <v>45618</v>
      </c>
      <c r="M234">
        <f t="shared" si="6"/>
        <v>300</v>
      </c>
      <c r="N234">
        <f t="shared" si="7"/>
        <v>277</v>
      </c>
    </row>
    <row r="235" spans="1:14" x14ac:dyDescent="0.2">
      <c r="A235" t="s">
        <v>40</v>
      </c>
      <c r="B235" s="1">
        <v>45304</v>
      </c>
      <c r="C235" t="s">
        <v>26</v>
      </c>
      <c r="D235">
        <v>1</v>
      </c>
      <c r="E235" s="1">
        <v>45403</v>
      </c>
      <c r="F235" t="s">
        <v>130</v>
      </c>
      <c r="G235">
        <v>20</v>
      </c>
      <c r="H235">
        <v>4</v>
      </c>
      <c r="I235">
        <v>997</v>
      </c>
      <c r="J235">
        <v>195</v>
      </c>
      <c r="K235">
        <v>0.6</v>
      </c>
      <c r="L235" s="1">
        <v>45428</v>
      </c>
      <c r="M235">
        <f t="shared" si="6"/>
        <v>802</v>
      </c>
      <c r="N235">
        <f t="shared" si="7"/>
        <v>797.4</v>
      </c>
    </row>
    <row r="236" spans="1:14" x14ac:dyDescent="0.2">
      <c r="A236" t="s">
        <v>40</v>
      </c>
      <c r="B236" s="1">
        <v>45359</v>
      </c>
      <c r="C236" t="s">
        <v>16</v>
      </c>
      <c r="D236">
        <v>1</v>
      </c>
      <c r="E236" s="1">
        <v>45452</v>
      </c>
      <c r="F236" t="s">
        <v>131</v>
      </c>
      <c r="G236">
        <v>0</v>
      </c>
      <c r="H236">
        <v>0</v>
      </c>
      <c r="I236">
        <v>857</v>
      </c>
      <c r="J236">
        <v>190</v>
      </c>
      <c r="K236">
        <v>0</v>
      </c>
      <c r="L236" s="1">
        <v>45472</v>
      </c>
      <c r="M236">
        <f t="shared" si="6"/>
        <v>667</v>
      </c>
      <c r="N236">
        <f t="shared" si="7"/>
        <v>667</v>
      </c>
    </row>
    <row r="237" spans="1:14" x14ac:dyDescent="0.2">
      <c r="A237" t="s">
        <v>99</v>
      </c>
      <c r="B237" s="1">
        <v>45378</v>
      </c>
      <c r="C237" t="s">
        <v>13</v>
      </c>
      <c r="D237">
        <v>3</v>
      </c>
      <c r="E237" s="1">
        <v>45533</v>
      </c>
      <c r="F237" t="s">
        <v>128</v>
      </c>
      <c r="G237">
        <v>0</v>
      </c>
      <c r="H237">
        <v>0</v>
      </c>
      <c r="I237">
        <v>464</v>
      </c>
      <c r="J237">
        <v>200</v>
      </c>
      <c r="K237">
        <v>0</v>
      </c>
      <c r="L237" s="1">
        <v>45557</v>
      </c>
      <c r="M237">
        <f t="shared" si="6"/>
        <v>264</v>
      </c>
      <c r="N237">
        <f t="shared" si="7"/>
        <v>264</v>
      </c>
    </row>
    <row r="238" spans="1:14" x14ac:dyDescent="0.2">
      <c r="A238" t="s">
        <v>55</v>
      </c>
      <c r="B238" s="1">
        <v>45317</v>
      </c>
      <c r="C238" t="s">
        <v>16</v>
      </c>
      <c r="D238">
        <v>1</v>
      </c>
      <c r="E238" s="1">
        <v>45362</v>
      </c>
      <c r="F238" t="s">
        <v>130</v>
      </c>
      <c r="G238">
        <v>500</v>
      </c>
      <c r="H238">
        <v>100</v>
      </c>
      <c r="I238">
        <v>345</v>
      </c>
      <c r="J238">
        <v>171</v>
      </c>
      <c r="K238">
        <v>15</v>
      </c>
      <c r="L238" s="1">
        <v>45369</v>
      </c>
      <c r="M238">
        <f t="shared" si="6"/>
        <v>174</v>
      </c>
      <c r="N238">
        <f t="shared" si="7"/>
        <v>59</v>
      </c>
    </row>
    <row r="239" spans="1:14" x14ac:dyDescent="0.2">
      <c r="A239" t="s">
        <v>99</v>
      </c>
      <c r="B239" s="1">
        <v>45413</v>
      </c>
      <c r="C239" t="s">
        <v>22</v>
      </c>
      <c r="D239">
        <v>1</v>
      </c>
      <c r="E239" s="1">
        <v>45427</v>
      </c>
      <c r="F239" t="s">
        <v>128</v>
      </c>
      <c r="G239">
        <v>0</v>
      </c>
      <c r="H239">
        <v>0</v>
      </c>
      <c r="I239">
        <v>913</v>
      </c>
      <c r="J239">
        <v>456</v>
      </c>
      <c r="K239">
        <v>0</v>
      </c>
      <c r="L239" s="1">
        <v>45435</v>
      </c>
      <c r="M239">
        <f t="shared" si="6"/>
        <v>457</v>
      </c>
      <c r="N239">
        <f t="shared" si="7"/>
        <v>457</v>
      </c>
    </row>
    <row r="240" spans="1:14" x14ac:dyDescent="0.2">
      <c r="A240" t="s">
        <v>37</v>
      </c>
      <c r="B240" s="1">
        <v>45366</v>
      </c>
      <c r="C240" t="s">
        <v>22</v>
      </c>
      <c r="D240">
        <v>2</v>
      </c>
      <c r="E240" s="1">
        <v>45423</v>
      </c>
      <c r="F240" t="s">
        <v>130</v>
      </c>
      <c r="G240">
        <v>200</v>
      </c>
      <c r="H240">
        <v>0</v>
      </c>
      <c r="I240">
        <v>534</v>
      </c>
      <c r="J240">
        <v>398</v>
      </c>
      <c r="K240">
        <v>6</v>
      </c>
      <c r="L240" s="1">
        <v>45446</v>
      </c>
      <c r="M240">
        <f t="shared" si="6"/>
        <v>136</v>
      </c>
      <c r="N240">
        <f t="shared" si="7"/>
        <v>130</v>
      </c>
    </row>
    <row r="241" spans="1:14" x14ac:dyDescent="0.2">
      <c r="A241" t="s">
        <v>74</v>
      </c>
      <c r="B241" s="1">
        <v>45352</v>
      </c>
      <c r="C241" t="s">
        <v>19</v>
      </c>
      <c r="D241">
        <v>2</v>
      </c>
      <c r="E241" s="1">
        <v>45498</v>
      </c>
      <c r="F241" t="s">
        <v>128</v>
      </c>
      <c r="G241">
        <v>100</v>
      </c>
      <c r="H241">
        <v>20</v>
      </c>
      <c r="I241">
        <v>324</v>
      </c>
      <c r="J241">
        <v>284</v>
      </c>
      <c r="K241">
        <v>3</v>
      </c>
      <c r="L241" s="1">
        <v>45524</v>
      </c>
      <c r="M241">
        <f t="shared" si="6"/>
        <v>40</v>
      </c>
      <c r="N241">
        <f t="shared" si="7"/>
        <v>17</v>
      </c>
    </row>
    <row r="242" spans="1:14" x14ac:dyDescent="0.2">
      <c r="A242" t="s">
        <v>43</v>
      </c>
      <c r="B242" s="1">
        <v>45465</v>
      </c>
      <c r="C242" t="s">
        <v>13</v>
      </c>
      <c r="D242">
        <v>3</v>
      </c>
      <c r="E242" s="1">
        <v>45618</v>
      </c>
      <c r="F242" t="s">
        <v>129</v>
      </c>
      <c r="G242">
        <v>500</v>
      </c>
      <c r="H242">
        <v>250</v>
      </c>
      <c r="I242">
        <v>393</v>
      </c>
      <c r="J242">
        <v>5</v>
      </c>
      <c r="K242">
        <v>15</v>
      </c>
      <c r="L242" s="1">
        <v>45646</v>
      </c>
      <c r="M242">
        <f t="shared" si="6"/>
        <v>388</v>
      </c>
      <c r="N242">
        <f t="shared" si="7"/>
        <v>123</v>
      </c>
    </row>
    <row r="243" spans="1:14" x14ac:dyDescent="0.2">
      <c r="A243" t="s">
        <v>46</v>
      </c>
      <c r="B243" s="1">
        <v>45468</v>
      </c>
      <c r="C243" t="s">
        <v>13</v>
      </c>
      <c r="D243">
        <v>1</v>
      </c>
      <c r="E243" s="1">
        <v>45574</v>
      </c>
      <c r="F243" t="s">
        <v>129</v>
      </c>
      <c r="G243">
        <v>500</v>
      </c>
      <c r="H243">
        <v>250</v>
      </c>
      <c r="I243">
        <v>155</v>
      </c>
      <c r="J243">
        <v>83</v>
      </c>
      <c r="K243">
        <v>15</v>
      </c>
      <c r="L243" s="1">
        <v>45602</v>
      </c>
      <c r="M243">
        <f t="shared" si="6"/>
        <v>72</v>
      </c>
      <c r="N243">
        <f t="shared" si="7"/>
        <v>-193</v>
      </c>
    </row>
    <row r="244" spans="1:14" x14ac:dyDescent="0.2">
      <c r="A244" t="s">
        <v>114</v>
      </c>
      <c r="B244" s="1">
        <v>45410</v>
      </c>
      <c r="C244" t="s">
        <v>19</v>
      </c>
      <c r="D244">
        <v>3</v>
      </c>
      <c r="E244" s="1">
        <v>45434</v>
      </c>
      <c r="F244" t="s">
        <v>131</v>
      </c>
      <c r="G244">
        <v>200</v>
      </c>
      <c r="H244">
        <v>0</v>
      </c>
      <c r="I244">
        <v>665</v>
      </c>
      <c r="J244">
        <v>141</v>
      </c>
      <c r="K244">
        <v>6</v>
      </c>
      <c r="L244" s="1">
        <v>45435</v>
      </c>
      <c r="M244">
        <f t="shared" si="6"/>
        <v>524</v>
      </c>
      <c r="N244">
        <f t="shared" si="7"/>
        <v>518</v>
      </c>
    </row>
    <row r="245" spans="1:14" x14ac:dyDescent="0.2">
      <c r="A245" t="s">
        <v>45</v>
      </c>
      <c r="B245" s="1">
        <v>45410</v>
      </c>
      <c r="C245" t="s">
        <v>16</v>
      </c>
      <c r="D245">
        <v>2</v>
      </c>
      <c r="E245" s="1">
        <v>45468</v>
      </c>
      <c r="F245" t="s">
        <v>131</v>
      </c>
      <c r="G245">
        <v>20</v>
      </c>
      <c r="H245">
        <v>0</v>
      </c>
      <c r="I245">
        <v>977</v>
      </c>
      <c r="J245">
        <v>72</v>
      </c>
      <c r="K245">
        <v>0.6</v>
      </c>
      <c r="L245" s="1">
        <v>45472</v>
      </c>
      <c r="M245">
        <f t="shared" si="6"/>
        <v>905</v>
      </c>
      <c r="N245">
        <f t="shared" si="7"/>
        <v>904.4</v>
      </c>
    </row>
    <row r="246" spans="1:14" x14ac:dyDescent="0.2">
      <c r="A246" t="s">
        <v>71</v>
      </c>
      <c r="B246" s="1">
        <v>45418</v>
      </c>
      <c r="C246" t="s">
        <v>26</v>
      </c>
      <c r="D246">
        <v>2</v>
      </c>
      <c r="E246" s="1">
        <v>45423</v>
      </c>
      <c r="F246" t="s">
        <v>128</v>
      </c>
      <c r="G246">
        <v>200</v>
      </c>
      <c r="H246">
        <v>0</v>
      </c>
      <c r="I246">
        <v>681</v>
      </c>
      <c r="J246">
        <v>242</v>
      </c>
      <c r="K246">
        <v>6</v>
      </c>
      <c r="L246" s="1">
        <v>45432</v>
      </c>
      <c r="M246">
        <f t="shared" si="6"/>
        <v>439</v>
      </c>
      <c r="N246">
        <f t="shared" si="7"/>
        <v>433</v>
      </c>
    </row>
    <row r="247" spans="1:14" x14ac:dyDescent="0.2">
      <c r="A247" t="s">
        <v>88</v>
      </c>
      <c r="B247" s="1">
        <v>45299</v>
      </c>
      <c r="C247" t="s">
        <v>13</v>
      </c>
      <c r="D247">
        <v>3</v>
      </c>
      <c r="E247" s="1">
        <v>45381</v>
      </c>
      <c r="F247" t="s">
        <v>131</v>
      </c>
      <c r="G247">
        <v>100</v>
      </c>
      <c r="H247">
        <v>50</v>
      </c>
      <c r="I247">
        <v>809</v>
      </c>
      <c r="J247">
        <v>264</v>
      </c>
      <c r="K247">
        <v>3</v>
      </c>
      <c r="L247" s="1">
        <v>45393</v>
      </c>
      <c r="M247">
        <f t="shared" si="6"/>
        <v>545</v>
      </c>
      <c r="N247">
        <f t="shared" si="7"/>
        <v>492</v>
      </c>
    </row>
    <row r="248" spans="1:14" x14ac:dyDescent="0.2">
      <c r="A248" t="s">
        <v>87</v>
      </c>
      <c r="B248" s="1">
        <v>45322</v>
      </c>
      <c r="C248" t="s">
        <v>19</v>
      </c>
      <c r="D248">
        <v>1</v>
      </c>
      <c r="E248" s="1">
        <v>45420</v>
      </c>
      <c r="F248" t="s">
        <v>129</v>
      </c>
      <c r="G248">
        <v>20</v>
      </c>
      <c r="H248">
        <v>10</v>
      </c>
      <c r="I248">
        <v>408</v>
      </c>
      <c r="J248">
        <v>120</v>
      </c>
      <c r="K248">
        <v>0.6</v>
      </c>
      <c r="L248" s="1">
        <v>45435</v>
      </c>
      <c r="M248">
        <f t="shared" si="6"/>
        <v>288</v>
      </c>
      <c r="N248">
        <f t="shared" si="7"/>
        <v>277.39999999999998</v>
      </c>
    </row>
    <row r="249" spans="1:14" x14ac:dyDescent="0.2">
      <c r="A249" t="s">
        <v>115</v>
      </c>
      <c r="B249" s="1">
        <v>45331</v>
      </c>
      <c r="C249" t="s">
        <v>13</v>
      </c>
      <c r="D249">
        <v>2</v>
      </c>
      <c r="E249" s="1">
        <v>45342</v>
      </c>
      <c r="F249" t="s">
        <v>128</v>
      </c>
      <c r="G249">
        <v>100</v>
      </c>
      <c r="H249">
        <v>20</v>
      </c>
      <c r="I249">
        <v>857</v>
      </c>
      <c r="J249">
        <v>178</v>
      </c>
      <c r="K249">
        <v>3</v>
      </c>
      <c r="L249" s="1">
        <v>45351</v>
      </c>
      <c r="M249">
        <f t="shared" si="6"/>
        <v>679</v>
      </c>
      <c r="N249">
        <f t="shared" si="7"/>
        <v>656</v>
      </c>
    </row>
    <row r="250" spans="1:14" x14ac:dyDescent="0.2">
      <c r="A250" t="s">
        <v>24</v>
      </c>
      <c r="B250" s="1">
        <v>45427</v>
      </c>
      <c r="C250" t="s">
        <v>22</v>
      </c>
      <c r="D250">
        <v>2</v>
      </c>
      <c r="E250" s="1">
        <v>45459</v>
      </c>
      <c r="F250" t="s">
        <v>131</v>
      </c>
      <c r="G250">
        <v>500</v>
      </c>
      <c r="H250">
        <v>0</v>
      </c>
      <c r="I250">
        <v>566</v>
      </c>
      <c r="J250">
        <v>479</v>
      </c>
      <c r="K250">
        <v>15</v>
      </c>
      <c r="L250" s="1">
        <v>45471</v>
      </c>
      <c r="M250">
        <f t="shared" si="6"/>
        <v>87</v>
      </c>
      <c r="N250">
        <f t="shared" si="7"/>
        <v>72</v>
      </c>
    </row>
    <row r="251" spans="1:14" x14ac:dyDescent="0.2">
      <c r="A251" t="s">
        <v>83</v>
      </c>
      <c r="B251" s="1">
        <v>45472</v>
      </c>
      <c r="C251" t="s">
        <v>22</v>
      </c>
      <c r="D251">
        <v>2</v>
      </c>
      <c r="E251" s="1">
        <v>45510</v>
      </c>
      <c r="F251" t="s">
        <v>130</v>
      </c>
      <c r="G251">
        <v>50</v>
      </c>
      <c r="H251">
        <v>0</v>
      </c>
      <c r="I251">
        <v>860</v>
      </c>
      <c r="J251">
        <v>716</v>
      </c>
      <c r="K251">
        <v>1.5</v>
      </c>
      <c r="L251" s="1">
        <v>45535</v>
      </c>
      <c r="M251">
        <f t="shared" si="6"/>
        <v>144</v>
      </c>
      <c r="N251">
        <f t="shared" si="7"/>
        <v>142.5</v>
      </c>
    </row>
    <row r="252" spans="1:14" x14ac:dyDescent="0.2">
      <c r="A252" t="s">
        <v>30</v>
      </c>
      <c r="B252" s="1">
        <v>45394</v>
      </c>
      <c r="C252" t="s">
        <v>22</v>
      </c>
      <c r="D252">
        <v>3</v>
      </c>
      <c r="E252" s="1">
        <v>45433</v>
      </c>
      <c r="F252" t="s">
        <v>130</v>
      </c>
      <c r="G252">
        <v>200</v>
      </c>
      <c r="H252">
        <v>100</v>
      </c>
      <c r="I252">
        <v>977</v>
      </c>
      <c r="J252">
        <v>295</v>
      </c>
      <c r="K252">
        <v>6</v>
      </c>
      <c r="L252" s="1">
        <v>45438</v>
      </c>
      <c r="M252">
        <f t="shared" si="6"/>
        <v>682</v>
      </c>
      <c r="N252">
        <f t="shared" si="7"/>
        <v>576</v>
      </c>
    </row>
    <row r="253" spans="1:14" x14ac:dyDescent="0.2">
      <c r="A253" t="s">
        <v>87</v>
      </c>
      <c r="B253" s="1">
        <v>45302</v>
      </c>
      <c r="C253" t="s">
        <v>16</v>
      </c>
      <c r="D253">
        <v>1</v>
      </c>
      <c r="E253" s="1">
        <v>45335</v>
      </c>
      <c r="F253" t="s">
        <v>131</v>
      </c>
      <c r="G253">
        <v>0</v>
      </c>
      <c r="H253">
        <v>0</v>
      </c>
      <c r="I253">
        <v>486</v>
      </c>
      <c r="J253">
        <v>312</v>
      </c>
      <c r="K253">
        <v>0</v>
      </c>
      <c r="L253" s="1">
        <v>45347</v>
      </c>
      <c r="M253">
        <f t="shared" si="6"/>
        <v>174</v>
      </c>
      <c r="N253">
        <f t="shared" si="7"/>
        <v>174</v>
      </c>
    </row>
    <row r="254" spans="1:14" x14ac:dyDescent="0.2">
      <c r="A254" t="s">
        <v>82</v>
      </c>
      <c r="B254" s="1">
        <v>45375</v>
      </c>
      <c r="C254" t="s">
        <v>26</v>
      </c>
      <c r="D254">
        <v>2</v>
      </c>
      <c r="E254" s="1">
        <v>45527</v>
      </c>
      <c r="F254" t="s">
        <v>129</v>
      </c>
      <c r="G254">
        <v>100</v>
      </c>
      <c r="H254">
        <v>20</v>
      </c>
      <c r="I254">
        <v>442</v>
      </c>
      <c r="J254">
        <v>99</v>
      </c>
      <c r="K254">
        <v>3</v>
      </c>
      <c r="L254" s="1">
        <v>45557</v>
      </c>
      <c r="M254">
        <f t="shared" si="6"/>
        <v>343</v>
      </c>
      <c r="N254">
        <f t="shared" si="7"/>
        <v>320</v>
      </c>
    </row>
    <row r="255" spans="1:14" x14ac:dyDescent="0.2">
      <c r="A255" t="s">
        <v>89</v>
      </c>
      <c r="B255" s="1">
        <v>45452</v>
      </c>
      <c r="C255" t="s">
        <v>26</v>
      </c>
      <c r="D255">
        <v>3</v>
      </c>
      <c r="E255" s="1">
        <v>45555</v>
      </c>
      <c r="F255" t="s">
        <v>130</v>
      </c>
      <c r="G255">
        <v>200</v>
      </c>
      <c r="H255">
        <v>40</v>
      </c>
      <c r="I255">
        <v>869</v>
      </c>
      <c r="J255">
        <v>167</v>
      </c>
      <c r="K255">
        <v>6</v>
      </c>
      <c r="L255" s="1">
        <v>45581</v>
      </c>
      <c r="M255">
        <f t="shared" si="6"/>
        <v>702</v>
      </c>
      <c r="N255">
        <f t="shared" si="7"/>
        <v>656</v>
      </c>
    </row>
    <row r="256" spans="1:14" x14ac:dyDescent="0.2">
      <c r="A256" t="s">
        <v>57</v>
      </c>
      <c r="B256" s="1">
        <v>45388</v>
      </c>
      <c r="C256" t="s">
        <v>22</v>
      </c>
      <c r="D256">
        <v>2</v>
      </c>
      <c r="E256" s="1">
        <v>45490</v>
      </c>
      <c r="F256" t="s">
        <v>129</v>
      </c>
      <c r="G256">
        <v>200</v>
      </c>
      <c r="H256">
        <v>40</v>
      </c>
      <c r="I256">
        <v>433</v>
      </c>
      <c r="J256">
        <v>310</v>
      </c>
      <c r="K256">
        <v>6</v>
      </c>
      <c r="L256" s="1">
        <v>45519</v>
      </c>
      <c r="M256">
        <f t="shared" si="6"/>
        <v>123</v>
      </c>
      <c r="N256">
        <f t="shared" si="7"/>
        <v>77</v>
      </c>
    </row>
    <row r="257" spans="1:14" x14ac:dyDescent="0.2">
      <c r="A257" t="s">
        <v>88</v>
      </c>
      <c r="B257" s="1">
        <v>45449</v>
      </c>
      <c r="C257" t="s">
        <v>16</v>
      </c>
      <c r="D257">
        <v>2</v>
      </c>
      <c r="E257" s="1">
        <v>45548</v>
      </c>
      <c r="F257" t="s">
        <v>130</v>
      </c>
      <c r="G257">
        <v>100</v>
      </c>
      <c r="H257">
        <v>20</v>
      </c>
      <c r="I257">
        <v>931</v>
      </c>
      <c r="J257">
        <v>689</v>
      </c>
      <c r="K257">
        <v>3</v>
      </c>
      <c r="L257" s="1">
        <v>45565</v>
      </c>
      <c r="M257">
        <f t="shared" si="6"/>
        <v>242</v>
      </c>
      <c r="N257">
        <f t="shared" si="7"/>
        <v>219</v>
      </c>
    </row>
    <row r="258" spans="1:14" x14ac:dyDescent="0.2">
      <c r="A258" t="s">
        <v>38</v>
      </c>
      <c r="B258" s="1">
        <v>45445</v>
      </c>
      <c r="C258" t="s">
        <v>26</v>
      </c>
      <c r="D258">
        <v>3</v>
      </c>
      <c r="E258" s="1">
        <v>45477</v>
      </c>
      <c r="F258" t="s">
        <v>128</v>
      </c>
      <c r="G258">
        <v>50</v>
      </c>
      <c r="H258">
        <v>10</v>
      </c>
      <c r="I258">
        <v>921</v>
      </c>
      <c r="J258">
        <v>600</v>
      </c>
      <c r="K258">
        <v>1.5</v>
      </c>
      <c r="L258" s="1">
        <v>45479</v>
      </c>
      <c r="M258">
        <f t="shared" si="6"/>
        <v>321</v>
      </c>
      <c r="N258">
        <f t="shared" si="7"/>
        <v>309.5</v>
      </c>
    </row>
    <row r="259" spans="1:14" x14ac:dyDescent="0.2">
      <c r="A259" t="s">
        <v>116</v>
      </c>
      <c r="B259" s="1">
        <v>45319</v>
      </c>
      <c r="C259" t="s">
        <v>19</v>
      </c>
      <c r="D259">
        <v>3</v>
      </c>
      <c r="E259" s="1">
        <v>45443</v>
      </c>
      <c r="F259" t="s">
        <v>128</v>
      </c>
      <c r="G259">
        <v>50</v>
      </c>
      <c r="H259">
        <v>25</v>
      </c>
      <c r="I259">
        <v>278</v>
      </c>
      <c r="J259">
        <v>214</v>
      </c>
      <c r="K259">
        <v>1.5</v>
      </c>
      <c r="L259" s="1">
        <v>45472</v>
      </c>
      <c r="M259">
        <f t="shared" ref="M259:M322" si="8">I259-J259</f>
        <v>64</v>
      </c>
      <c r="N259">
        <f t="shared" ref="N259:N322" si="9">M259-H259-K259</f>
        <v>37.5</v>
      </c>
    </row>
    <row r="260" spans="1:14" x14ac:dyDescent="0.2">
      <c r="A260" t="s">
        <v>36</v>
      </c>
      <c r="B260" s="1">
        <v>45296</v>
      </c>
      <c r="C260" t="s">
        <v>13</v>
      </c>
      <c r="D260">
        <v>2</v>
      </c>
      <c r="E260" s="1">
        <v>45425</v>
      </c>
      <c r="F260" t="s">
        <v>130</v>
      </c>
      <c r="G260">
        <v>20</v>
      </c>
      <c r="H260">
        <v>4</v>
      </c>
      <c r="I260">
        <v>843</v>
      </c>
      <c r="J260">
        <v>738</v>
      </c>
      <c r="K260">
        <v>0.6</v>
      </c>
      <c r="L260" s="1">
        <v>45438</v>
      </c>
      <c r="M260">
        <f t="shared" si="8"/>
        <v>105</v>
      </c>
      <c r="N260">
        <f t="shared" si="9"/>
        <v>100.4</v>
      </c>
    </row>
    <row r="261" spans="1:14" x14ac:dyDescent="0.2">
      <c r="A261" t="s">
        <v>58</v>
      </c>
      <c r="B261" s="1">
        <v>45321</v>
      </c>
      <c r="C261" t="s">
        <v>19</v>
      </c>
      <c r="D261">
        <v>2</v>
      </c>
      <c r="E261" s="1">
        <v>45322</v>
      </c>
      <c r="F261" t="s">
        <v>130</v>
      </c>
      <c r="G261">
        <v>100</v>
      </c>
      <c r="H261">
        <v>50</v>
      </c>
      <c r="I261">
        <v>936</v>
      </c>
      <c r="J261">
        <v>294</v>
      </c>
      <c r="K261">
        <v>3</v>
      </c>
      <c r="L261" s="1">
        <v>45346</v>
      </c>
      <c r="M261">
        <f t="shared" si="8"/>
        <v>642</v>
      </c>
      <c r="N261">
        <f t="shared" si="9"/>
        <v>589</v>
      </c>
    </row>
    <row r="262" spans="1:14" x14ac:dyDescent="0.2">
      <c r="A262" t="s">
        <v>106</v>
      </c>
      <c r="B262" s="1">
        <v>45411</v>
      </c>
      <c r="C262" t="s">
        <v>16</v>
      </c>
      <c r="D262">
        <v>3</v>
      </c>
      <c r="E262" s="1">
        <v>45551</v>
      </c>
      <c r="F262" t="s">
        <v>131</v>
      </c>
      <c r="G262">
        <v>20</v>
      </c>
      <c r="H262">
        <v>4</v>
      </c>
      <c r="I262">
        <v>535</v>
      </c>
      <c r="J262">
        <v>281</v>
      </c>
      <c r="K262">
        <v>0.6</v>
      </c>
      <c r="L262" s="1">
        <v>45568</v>
      </c>
      <c r="M262">
        <f t="shared" si="8"/>
        <v>254</v>
      </c>
      <c r="N262">
        <f t="shared" si="9"/>
        <v>249.4</v>
      </c>
    </row>
    <row r="263" spans="1:14" x14ac:dyDescent="0.2">
      <c r="A263" t="s">
        <v>32</v>
      </c>
      <c r="B263" s="1">
        <v>45421</v>
      </c>
      <c r="C263" t="s">
        <v>13</v>
      </c>
      <c r="D263">
        <v>1</v>
      </c>
      <c r="E263" s="1">
        <v>45444</v>
      </c>
      <c r="F263" t="s">
        <v>128</v>
      </c>
      <c r="G263">
        <v>50</v>
      </c>
      <c r="H263">
        <v>25</v>
      </c>
      <c r="I263">
        <v>769</v>
      </c>
      <c r="J263">
        <v>86</v>
      </c>
      <c r="K263">
        <v>1.5</v>
      </c>
      <c r="L263" s="1">
        <v>45456</v>
      </c>
      <c r="M263">
        <f t="shared" si="8"/>
        <v>683</v>
      </c>
      <c r="N263">
        <f t="shared" si="9"/>
        <v>656.5</v>
      </c>
    </row>
    <row r="264" spans="1:14" x14ac:dyDescent="0.2">
      <c r="A264" t="s">
        <v>54</v>
      </c>
      <c r="B264" s="1">
        <v>45399</v>
      </c>
      <c r="C264" t="s">
        <v>16</v>
      </c>
      <c r="D264">
        <v>3</v>
      </c>
      <c r="E264" s="1">
        <v>45476</v>
      </c>
      <c r="F264" t="s">
        <v>128</v>
      </c>
      <c r="G264">
        <v>100</v>
      </c>
      <c r="H264">
        <v>50</v>
      </c>
      <c r="I264">
        <v>870</v>
      </c>
      <c r="J264">
        <v>818</v>
      </c>
      <c r="K264">
        <v>3</v>
      </c>
      <c r="L264" s="1">
        <v>45502</v>
      </c>
      <c r="M264">
        <f t="shared" si="8"/>
        <v>52</v>
      </c>
      <c r="N264">
        <f t="shared" si="9"/>
        <v>-1</v>
      </c>
    </row>
    <row r="265" spans="1:14" x14ac:dyDescent="0.2">
      <c r="A265" t="s">
        <v>52</v>
      </c>
      <c r="B265" s="1">
        <v>45437</v>
      </c>
      <c r="C265" t="s">
        <v>22</v>
      </c>
      <c r="D265">
        <v>3</v>
      </c>
      <c r="E265" s="1">
        <v>45599</v>
      </c>
      <c r="F265" t="s">
        <v>128</v>
      </c>
      <c r="G265">
        <v>0</v>
      </c>
      <c r="H265">
        <v>0</v>
      </c>
      <c r="I265">
        <v>104</v>
      </c>
      <c r="J265">
        <v>95</v>
      </c>
      <c r="K265">
        <v>0</v>
      </c>
      <c r="L265" s="1">
        <v>45599</v>
      </c>
      <c r="M265">
        <f t="shared" si="8"/>
        <v>9</v>
      </c>
      <c r="N265">
        <f t="shared" si="9"/>
        <v>9</v>
      </c>
    </row>
    <row r="266" spans="1:14" x14ac:dyDescent="0.2">
      <c r="A266" t="s">
        <v>61</v>
      </c>
      <c r="B266" s="1">
        <v>45414</v>
      </c>
      <c r="C266" t="s">
        <v>16</v>
      </c>
      <c r="D266">
        <v>2</v>
      </c>
      <c r="E266" s="1">
        <v>45513</v>
      </c>
      <c r="F266" t="s">
        <v>130</v>
      </c>
      <c r="G266">
        <v>200</v>
      </c>
      <c r="H266">
        <v>0</v>
      </c>
      <c r="I266">
        <v>927</v>
      </c>
      <c r="J266">
        <v>261</v>
      </c>
      <c r="K266">
        <v>6</v>
      </c>
      <c r="L266" s="1">
        <v>45520</v>
      </c>
      <c r="M266">
        <f t="shared" si="8"/>
        <v>666</v>
      </c>
      <c r="N266">
        <f t="shared" si="9"/>
        <v>660</v>
      </c>
    </row>
    <row r="267" spans="1:14" x14ac:dyDescent="0.2">
      <c r="A267" t="s">
        <v>113</v>
      </c>
      <c r="B267" s="1">
        <v>45358</v>
      </c>
      <c r="C267" t="s">
        <v>22</v>
      </c>
      <c r="D267">
        <v>1</v>
      </c>
      <c r="E267" s="1">
        <v>45375</v>
      </c>
      <c r="F267" t="s">
        <v>129</v>
      </c>
      <c r="G267">
        <v>50</v>
      </c>
      <c r="H267">
        <v>0</v>
      </c>
      <c r="I267">
        <v>67</v>
      </c>
      <c r="J267">
        <v>40</v>
      </c>
      <c r="K267">
        <v>1.5</v>
      </c>
      <c r="L267" s="1">
        <v>45382</v>
      </c>
      <c r="M267">
        <f t="shared" si="8"/>
        <v>27</v>
      </c>
      <c r="N267">
        <f t="shared" si="9"/>
        <v>25.5</v>
      </c>
    </row>
    <row r="268" spans="1:14" x14ac:dyDescent="0.2">
      <c r="A268" t="s">
        <v>117</v>
      </c>
      <c r="B268" s="1">
        <v>45383</v>
      </c>
      <c r="C268" t="s">
        <v>13</v>
      </c>
      <c r="D268">
        <v>1</v>
      </c>
      <c r="E268" s="1">
        <v>45533</v>
      </c>
      <c r="F268" t="s">
        <v>128</v>
      </c>
      <c r="G268">
        <v>500</v>
      </c>
      <c r="H268">
        <v>250</v>
      </c>
      <c r="I268">
        <v>253</v>
      </c>
      <c r="J268">
        <v>64</v>
      </c>
      <c r="K268">
        <v>15</v>
      </c>
      <c r="L268" s="1">
        <v>45562</v>
      </c>
      <c r="M268">
        <f t="shared" si="8"/>
        <v>189</v>
      </c>
      <c r="N268">
        <f t="shared" si="9"/>
        <v>-76</v>
      </c>
    </row>
    <row r="269" spans="1:14" x14ac:dyDescent="0.2">
      <c r="A269" t="s">
        <v>116</v>
      </c>
      <c r="B269" s="1">
        <v>45372</v>
      </c>
      <c r="C269" t="s">
        <v>22</v>
      </c>
      <c r="D269">
        <v>3</v>
      </c>
      <c r="E269" s="1">
        <v>45461</v>
      </c>
      <c r="F269" t="s">
        <v>130</v>
      </c>
      <c r="G269">
        <v>20</v>
      </c>
      <c r="H269">
        <v>4</v>
      </c>
      <c r="I269">
        <v>575</v>
      </c>
      <c r="J269">
        <v>476</v>
      </c>
      <c r="K269">
        <v>0.6</v>
      </c>
      <c r="L269" s="1">
        <v>45478</v>
      </c>
      <c r="M269">
        <f t="shared" si="8"/>
        <v>99</v>
      </c>
      <c r="N269">
        <f t="shared" si="9"/>
        <v>94.4</v>
      </c>
    </row>
    <row r="270" spans="1:14" x14ac:dyDescent="0.2">
      <c r="A270" t="s">
        <v>111</v>
      </c>
      <c r="B270" s="1">
        <v>45382</v>
      </c>
      <c r="C270" t="s">
        <v>16</v>
      </c>
      <c r="D270">
        <v>1</v>
      </c>
      <c r="E270" s="1">
        <v>45443</v>
      </c>
      <c r="F270" t="s">
        <v>131</v>
      </c>
      <c r="G270">
        <v>200</v>
      </c>
      <c r="H270">
        <v>100</v>
      </c>
      <c r="I270">
        <v>485</v>
      </c>
      <c r="J270">
        <v>0</v>
      </c>
      <c r="K270">
        <v>6</v>
      </c>
      <c r="L270" s="1">
        <v>45473</v>
      </c>
      <c r="M270">
        <f t="shared" si="8"/>
        <v>485</v>
      </c>
      <c r="N270">
        <f t="shared" si="9"/>
        <v>379</v>
      </c>
    </row>
    <row r="271" spans="1:14" x14ac:dyDescent="0.2">
      <c r="A271" t="s">
        <v>43</v>
      </c>
      <c r="B271" s="1">
        <v>45423</v>
      </c>
      <c r="C271" t="s">
        <v>16</v>
      </c>
      <c r="D271">
        <v>2</v>
      </c>
      <c r="E271" s="1">
        <v>45523</v>
      </c>
      <c r="F271" t="s">
        <v>128</v>
      </c>
      <c r="G271">
        <v>200</v>
      </c>
      <c r="H271">
        <v>40</v>
      </c>
      <c r="I271">
        <v>154</v>
      </c>
      <c r="J271">
        <v>73</v>
      </c>
      <c r="K271">
        <v>6</v>
      </c>
      <c r="L271" s="1">
        <v>45542</v>
      </c>
      <c r="M271">
        <f t="shared" si="8"/>
        <v>81</v>
      </c>
      <c r="N271">
        <f t="shared" si="9"/>
        <v>35</v>
      </c>
    </row>
    <row r="272" spans="1:14" x14ac:dyDescent="0.2">
      <c r="A272" t="s">
        <v>29</v>
      </c>
      <c r="B272" s="1">
        <v>45372</v>
      </c>
      <c r="C272" t="s">
        <v>22</v>
      </c>
      <c r="D272">
        <v>3</v>
      </c>
      <c r="E272" s="1">
        <v>45535</v>
      </c>
      <c r="F272" t="s">
        <v>131</v>
      </c>
      <c r="G272">
        <v>20</v>
      </c>
      <c r="H272">
        <v>10</v>
      </c>
      <c r="I272">
        <v>796</v>
      </c>
      <c r="J272">
        <v>57</v>
      </c>
      <c r="K272">
        <v>0.6</v>
      </c>
      <c r="L272" s="1">
        <v>45544</v>
      </c>
      <c r="M272">
        <f t="shared" si="8"/>
        <v>739</v>
      </c>
      <c r="N272">
        <f t="shared" si="9"/>
        <v>728.4</v>
      </c>
    </row>
    <row r="273" spans="1:14" x14ac:dyDescent="0.2">
      <c r="A273" t="s">
        <v>96</v>
      </c>
      <c r="B273" s="1">
        <v>45377</v>
      </c>
      <c r="C273" t="s">
        <v>19</v>
      </c>
      <c r="D273">
        <v>1</v>
      </c>
      <c r="E273" s="1">
        <v>45555</v>
      </c>
      <c r="F273" t="s">
        <v>129</v>
      </c>
      <c r="G273">
        <v>20</v>
      </c>
      <c r="H273">
        <v>10</v>
      </c>
      <c r="I273">
        <v>489</v>
      </c>
      <c r="J273">
        <v>143</v>
      </c>
      <c r="K273">
        <v>0.6</v>
      </c>
      <c r="L273" s="1">
        <v>45583</v>
      </c>
      <c r="M273">
        <f t="shared" si="8"/>
        <v>346</v>
      </c>
      <c r="N273">
        <f t="shared" si="9"/>
        <v>335.4</v>
      </c>
    </row>
    <row r="274" spans="1:14" x14ac:dyDescent="0.2">
      <c r="A274" t="s">
        <v>78</v>
      </c>
      <c r="B274" s="1">
        <v>45403</v>
      </c>
      <c r="C274" t="s">
        <v>26</v>
      </c>
      <c r="D274">
        <v>2</v>
      </c>
      <c r="E274" s="1">
        <v>45483</v>
      </c>
      <c r="F274" t="s">
        <v>128</v>
      </c>
      <c r="G274">
        <v>20</v>
      </c>
      <c r="H274">
        <v>4</v>
      </c>
      <c r="I274">
        <v>29</v>
      </c>
      <c r="J274">
        <v>20</v>
      </c>
      <c r="K274">
        <v>0.6</v>
      </c>
      <c r="L274" s="1">
        <v>45503</v>
      </c>
      <c r="M274">
        <f t="shared" si="8"/>
        <v>9</v>
      </c>
      <c r="N274">
        <f t="shared" si="9"/>
        <v>4.4000000000000004</v>
      </c>
    </row>
    <row r="275" spans="1:14" x14ac:dyDescent="0.2">
      <c r="A275" t="s">
        <v>84</v>
      </c>
      <c r="B275" s="1">
        <v>45465</v>
      </c>
      <c r="C275" t="s">
        <v>13</v>
      </c>
      <c r="D275">
        <v>2</v>
      </c>
      <c r="E275" s="1">
        <v>45519</v>
      </c>
      <c r="F275" t="s">
        <v>128</v>
      </c>
      <c r="G275">
        <v>100</v>
      </c>
      <c r="H275">
        <v>20</v>
      </c>
      <c r="I275">
        <v>469</v>
      </c>
      <c r="J275">
        <v>303</v>
      </c>
      <c r="K275">
        <v>3</v>
      </c>
      <c r="L275" s="1">
        <v>45521</v>
      </c>
      <c r="M275">
        <f t="shared" si="8"/>
        <v>166</v>
      </c>
      <c r="N275">
        <f t="shared" si="9"/>
        <v>143</v>
      </c>
    </row>
    <row r="276" spans="1:14" x14ac:dyDescent="0.2">
      <c r="A276" t="s">
        <v>45</v>
      </c>
      <c r="B276" s="1">
        <v>45461</v>
      </c>
      <c r="C276" t="s">
        <v>19</v>
      </c>
      <c r="D276">
        <v>1</v>
      </c>
      <c r="E276" s="1">
        <v>45537</v>
      </c>
      <c r="F276" t="s">
        <v>129</v>
      </c>
      <c r="G276">
        <v>0</v>
      </c>
      <c r="H276">
        <v>0</v>
      </c>
      <c r="I276">
        <v>461</v>
      </c>
      <c r="J276">
        <v>96</v>
      </c>
      <c r="K276">
        <v>0</v>
      </c>
      <c r="L276" s="1">
        <v>45538</v>
      </c>
      <c r="M276">
        <f t="shared" si="8"/>
        <v>365</v>
      </c>
      <c r="N276">
        <f t="shared" si="9"/>
        <v>365</v>
      </c>
    </row>
    <row r="277" spans="1:14" x14ac:dyDescent="0.2">
      <c r="A277" t="s">
        <v>62</v>
      </c>
      <c r="B277" s="1">
        <v>45426</v>
      </c>
      <c r="C277" t="s">
        <v>13</v>
      </c>
      <c r="D277">
        <v>2</v>
      </c>
      <c r="E277" s="1">
        <v>45522</v>
      </c>
      <c r="F277" t="s">
        <v>131</v>
      </c>
      <c r="G277">
        <v>0</v>
      </c>
      <c r="H277">
        <v>0</v>
      </c>
      <c r="I277">
        <v>609</v>
      </c>
      <c r="J277">
        <v>84</v>
      </c>
      <c r="K277">
        <v>0</v>
      </c>
      <c r="L277" s="1">
        <v>45541</v>
      </c>
      <c r="M277">
        <f t="shared" si="8"/>
        <v>525</v>
      </c>
      <c r="N277">
        <f t="shared" si="9"/>
        <v>525</v>
      </c>
    </row>
    <row r="278" spans="1:14" x14ac:dyDescent="0.2">
      <c r="A278" t="s">
        <v>105</v>
      </c>
      <c r="B278" s="1">
        <v>45414</v>
      </c>
      <c r="C278" t="s">
        <v>22</v>
      </c>
      <c r="D278">
        <v>1</v>
      </c>
      <c r="E278" s="1">
        <v>45463</v>
      </c>
      <c r="F278" t="s">
        <v>130</v>
      </c>
      <c r="G278">
        <v>100</v>
      </c>
      <c r="H278">
        <v>20</v>
      </c>
      <c r="I278">
        <v>614</v>
      </c>
      <c r="J278">
        <v>211</v>
      </c>
      <c r="K278">
        <v>3</v>
      </c>
      <c r="L278" s="1">
        <v>45491</v>
      </c>
      <c r="M278">
        <f t="shared" si="8"/>
        <v>403</v>
      </c>
      <c r="N278">
        <f t="shared" si="9"/>
        <v>380</v>
      </c>
    </row>
    <row r="279" spans="1:14" x14ac:dyDescent="0.2">
      <c r="A279" t="s">
        <v>58</v>
      </c>
      <c r="B279" s="1">
        <v>45468</v>
      </c>
      <c r="C279" t="s">
        <v>16</v>
      </c>
      <c r="D279">
        <v>1</v>
      </c>
      <c r="E279" s="1">
        <v>45478</v>
      </c>
      <c r="F279" t="s">
        <v>129</v>
      </c>
      <c r="G279">
        <v>20</v>
      </c>
      <c r="H279">
        <v>10</v>
      </c>
      <c r="I279">
        <v>245</v>
      </c>
      <c r="J279">
        <v>30</v>
      </c>
      <c r="K279">
        <v>0.6</v>
      </c>
      <c r="L279" s="1">
        <v>45503</v>
      </c>
      <c r="M279">
        <f t="shared" si="8"/>
        <v>215</v>
      </c>
      <c r="N279">
        <f t="shared" si="9"/>
        <v>204.4</v>
      </c>
    </row>
    <row r="280" spans="1:14" x14ac:dyDescent="0.2">
      <c r="A280" t="s">
        <v>90</v>
      </c>
      <c r="B280" s="1">
        <v>45411</v>
      </c>
      <c r="C280" t="s">
        <v>19</v>
      </c>
      <c r="D280">
        <v>3</v>
      </c>
      <c r="E280" s="1">
        <v>45445</v>
      </c>
      <c r="F280" t="s">
        <v>128</v>
      </c>
      <c r="G280">
        <v>0</v>
      </c>
      <c r="H280">
        <v>0</v>
      </c>
      <c r="I280">
        <v>533</v>
      </c>
      <c r="J280">
        <v>17</v>
      </c>
      <c r="K280">
        <v>0</v>
      </c>
      <c r="L280" s="1">
        <v>45471</v>
      </c>
      <c r="M280">
        <f t="shared" si="8"/>
        <v>516</v>
      </c>
      <c r="N280">
        <f t="shared" si="9"/>
        <v>516</v>
      </c>
    </row>
    <row r="281" spans="1:14" x14ac:dyDescent="0.2">
      <c r="A281" t="s">
        <v>112</v>
      </c>
      <c r="B281" s="1">
        <v>45386</v>
      </c>
      <c r="C281" t="s">
        <v>22</v>
      </c>
      <c r="D281">
        <v>3</v>
      </c>
      <c r="E281" s="1">
        <v>45479</v>
      </c>
      <c r="F281" t="s">
        <v>129</v>
      </c>
      <c r="G281">
        <v>200</v>
      </c>
      <c r="H281">
        <v>40</v>
      </c>
      <c r="I281">
        <v>800</v>
      </c>
      <c r="J281">
        <v>537</v>
      </c>
      <c r="K281">
        <v>6</v>
      </c>
      <c r="L281" s="1">
        <v>45505</v>
      </c>
      <c r="M281">
        <f t="shared" si="8"/>
        <v>263</v>
      </c>
      <c r="N281">
        <f t="shared" si="9"/>
        <v>217</v>
      </c>
    </row>
    <row r="282" spans="1:14" x14ac:dyDescent="0.2">
      <c r="A282" t="s">
        <v>67</v>
      </c>
      <c r="B282" s="1">
        <v>45369</v>
      </c>
      <c r="C282" t="s">
        <v>13</v>
      </c>
      <c r="D282">
        <v>2</v>
      </c>
      <c r="E282" s="1">
        <v>45519</v>
      </c>
      <c r="F282" t="s">
        <v>130</v>
      </c>
      <c r="G282">
        <v>20</v>
      </c>
      <c r="H282">
        <v>0</v>
      </c>
      <c r="I282">
        <v>869</v>
      </c>
      <c r="J282">
        <v>208</v>
      </c>
      <c r="K282">
        <v>0.6</v>
      </c>
      <c r="L282" s="1">
        <v>45537</v>
      </c>
      <c r="M282">
        <f t="shared" si="8"/>
        <v>661</v>
      </c>
      <c r="N282">
        <f t="shared" si="9"/>
        <v>660.4</v>
      </c>
    </row>
    <row r="283" spans="1:14" x14ac:dyDescent="0.2">
      <c r="A283" t="s">
        <v>101</v>
      </c>
      <c r="B283" s="1">
        <v>45317</v>
      </c>
      <c r="C283" t="s">
        <v>16</v>
      </c>
      <c r="D283">
        <v>1</v>
      </c>
      <c r="E283" s="1">
        <v>45328</v>
      </c>
      <c r="F283" t="s">
        <v>130</v>
      </c>
      <c r="G283">
        <v>20</v>
      </c>
      <c r="H283">
        <v>4</v>
      </c>
      <c r="I283">
        <v>295</v>
      </c>
      <c r="J283">
        <v>39</v>
      </c>
      <c r="K283">
        <v>0.6</v>
      </c>
      <c r="L283" s="1">
        <v>45338</v>
      </c>
      <c r="M283">
        <f t="shared" si="8"/>
        <v>256</v>
      </c>
      <c r="N283">
        <f t="shared" si="9"/>
        <v>251.4</v>
      </c>
    </row>
    <row r="284" spans="1:14" x14ac:dyDescent="0.2">
      <c r="A284" t="s">
        <v>36</v>
      </c>
      <c r="B284" s="1">
        <v>45315</v>
      </c>
      <c r="C284" t="s">
        <v>26</v>
      </c>
      <c r="D284">
        <v>2</v>
      </c>
      <c r="E284" s="1">
        <v>45400</v>
      </c>
      <c r="F284" t="s">
        <v>128</v>
      </c>
      <c r="G284">
        <v>100</v>
      </c>
      <c r="H284">
        <v>0</v>
      </c>
      <c r="I284">
        <v>989</v>
      </c>
      <c r="J284">
        <v>397</v>
      </c>
      <c r="K284">
        <v>3</v>
      </c>
      <c r="L284" s="1">
        <v>45411</v>
      </c>
      <c r="M284">
        <f t="shared" si="8"/>
        <v>592</v>
      </c>
      <c r="N284">
        <f t="shared" si="9"/>
        <v>589</v>
      </c>
    </row>
    <row r="285" spans="1:14" x14ac:dyDescent="0.2">
      <c r="A285" t="s">
        <v>103</v>
      </c>
      <c r="B285" s="1">
        <v>45438</v>
      </c>
      <c r="C285" t="s">
        <v>19</v>
      </c>
      <c r="D285">
        <v>2</v>
      </c>
      <c r="E285" s="1">
        <v>45518</v>
      </c>
      <c r="F285" t="s">
        <v>130</v>
      </c>
      <c r="G285">
        <v>0</v>
      </c>
      <c r="H285">
        <v>0</v>
      </c>
      <c r="I285">
        <v>520</v>
      </c>
      <c r="J285">
        <v>415</v>
      </c>
      <c r="K285">
        <v>0</v>
      </c>
      <c r="L285" s="1">
        <v>45548</v>
      </c>
      <c r="M285">
        <f t="shared" si="8"/>
        <v>105</v>
      </c>
      <c r="N285">
        <f t="shared" si="9"/>
        <v>105</v>
      </c>
    </row>
    <row r="286" spans="1:14" x14ac:dyDescent="0.2">
      <c r="A286" t="s">
        <v>40</v>
      </c>
      <c r="B286" s="1">
        <v>45472</v>
      </c>
      <c r="C286" t="s">
        <v>26</v>
      </c>
      <c r="D286">
        <v>3</v>
      </c>
      <c r="E286" s="1">
        <v>45620</v>
      </c>
      <c r="F286" t="s">
        <v>129</v>
      </c>
      <c r="G286">
        <v>100</v>
      </c>
      <c r="H286">
        <v>20</v>
      </c>
      <c r="I286">
        <v>370</v>
      </c>
      <c r="J286">
        <v>333</v>
      </c>
      <c r="K286">
        <v>3</v>
      </c>
      <c r="L286" s="1">
        <v>45642</v>
      </c>
      <c r="M286">
        <f t="shared" si="8"/>
        <v>37</v>
      </c>
      <c r="N286">
        <f t="shared" si="9"/>
        <v>14</v>
      </c>
    </row>
    <row r="287" spans="1:14" x14ac:dyDescent="0.2">
      <c r="A287" t="s">
        <v>101</v>
      </c>
      <c r="B287" s="1">
        <v>45454</v>
      </c>
      <c r="C287" t="s">
        <v>13</v>
      </c>
      <c r="D287">
        <v>2</v>
      </c>
      <c r="E287" s="1">
        <v>45631</v>
      </c>
      <c r="F287" t="s">
        <v>128</v>
      </c>
      <c r="G287">
        <v>50</v>
      </c>
      <c r="H287">
        <v>0</v>
      </c>
      <c r="I287">
        <v>103</v>
      </c>
      <c r="J287">
        <v>81</v>
      </c>
      <c r="K287">
        <v>1.5</v>
      </c>
      <c r="L287" s="1">
        <v>45631</v>
      </c>
      <c r="M287">
        <f t="shared" si="8"/>
        <v>22</v>
      </c>
      <c r="N287">
        <f t="shared" si="9"/>
        <v>20.5</v>
      </c>
    </row>
    <row r="288" spans="1:14" x14ac:dyDescent="0.2">
      <c r="A288" t="s">
        <v>65</v>
      </c>
      <c r="B288" s="1">
        <v>45392</v>
      </c>
      <c r="C288" t="s">
        <v>22</v>
      </c>
      <c r="D288">
        <v>2</v>
      </c>
      <c r="E288" s="1">
        <v>45539</v>
      </c>
      <c r="F288" t="s">
        <v>130</v>
      </c>
      <c r="G288">
        <v>500</v>
      </c>
      <c r="H288">
        <v>250</v>
      </c>
      <c r="I288">
        <v>430</v>
      </c>
      <c r="J288">
        <v>301</v>
      </c>
      <c r="K288">
        <v>15</v>
      </c>
      <c r="L288" s="1">
        <v>45546</v>
      </c>
      <c r="M288">
        <f t="shared" si="8"/>
        <v>129</v>
      </c>
      <c r="N288">
        <f t="shared" si="9"/>
        <v>-136</v>
      </c>
    </row>
    <row r="289" spans="1:14" x14ac:dyDescent="0.2">
      <c r="A289" t="s">
        <v>105</v>
      </c>
      <c r="B289" s="1">
        <v>45324</v>
      </c>
      <c r="C289" t="s">
        <v>16</v>
      </c>
      <c r="D289">
        <v>3</v>
      </c>
      <c r="E289" s="1">
        <v>45483</v>
      </c>
      <c r="F289" t="s">
        <v>129</v>
      </c>
      <c r="G289">
        <v>50</v>
      </c>
      <c r="H289">
        <v>0</v>
      </c>
      <c r="I289">
        <v>30</v>
      </c>
      <c r="J289">
        <v>29</v>
      </c>
      <c r="K289">
        <v>1.5</v>
      </c>
      <c r="L289" s="1">
        <v>45485</v>
      </c>
      <c r="M289">
        <f t="shared" si="8"/>
        <v>1</v>
      </c>
      <c r="N289">
        <f t="shared" si="9"/>
        <v>-0.5</v>
      </c>
    </row>
    <row r="290" spans="1:14" x14ac:dyDescent="0.2">
      <c r="A290" t="s">
        <v>118</v>
      </c>
      <c r="B290" s="1">
        <v>45386</v>
      </c>
      <c r="C290" t="s">
        <v>16</v>
      </c>
      <c r="D290">
        <v>1</v>
      </c>
      <c r="E290" s="1">
        <v>45435</v>
      </c>
      <c r="F290" t="s">
        <v>130</v>
      </c>
      <c r="G290">
        <v>100</v>
      </c>
      <c r="H290">
        <v>50</v>
      </c>
      <c r="I290">
        <v>724</v>
      </c>
      <c r="J290">
        <v>229</v>
      </c>
      <c r="K290">
        <v>3</v>
      </c>
      <c r="L290" s="1">
        <v>45442</v>
      </c>
      <c r="M290">
        <f t="shared" si="8"/>
        <v>495</v>
      </c>
      <c r="N290">
        <f t="shared" si="9"/>
        <v>442</v>
      </c>
    </row>
    <row r="291" spans="1:14" x14ac:dyDescent="0.2">
      <c r="A291" t="s">
        <v>57</v>
      </c>
      <c r="B291" s="1">
        <v>45342</v>
      </c>
      <c r="C291" t="s">
        <v>22</v>
      </c>
      <c r="D291">
        <v>1</v>
      </c>
      <c r="E291" s="1">
        <v>45433</v>
      </c>
      <c r="F291" t="s">
        <v>129</v>
      </c>
      <c r="G291">
        <v>500</v>
      </c>
      <c r="H291">
        <v>250</v>
      </c>
      <c r="I291">
        <v>960</v>
      </c>
      <c r="J291">
        <v>289</v>
      </c>
      <c r="K291">
        <v>15</v>
      </c>
      <c r="L291" s="1">
        <v>45452</v>
      </c>
      <c r="M291">
        <f t="shared" si="8"/>
        <v>671</v>
      </c>
      <c r="N291">
        <f t="shared" si="9"/>
        <v>406</v>
      </c>
    </row>
    <row r="292" spans="1:14" x14ac:dyDescent="0.2">
      <c r="A292" t="s">
        <v>77</v>
      </c>
      <c r="B292" s="1">
        <v>45399</v>
      </c>
      <c r="C292" t="s">
        <v>26</v>
      </c>
      <c r="D292">
        <v>2</v>
      </c>
      <c r="E292" s="1">
        <v>45499</v>
      </c>
      <c r="F292" t="s">
        <v>129</v>
      </c>
      <c r="G292">
        <v>20</v>
      </c>
      <c r="H292">
        <v>4</v>
      </c>
      <c r="I292">
        <v>474</v>
      </c>
      <c r="J292">
        <v>84</v>
      </c>
      <c r="K292">
        <v>0.6</v>
      </c>
      <c r="L292" s="1">
        <v>45517</v>
      </c>
      <c r="M292">
        <f t="shared" si="8"/>
        <v>390</v>
      </c>
      <c r="N292">
        <f t="shared" si="9"/>
        <v>385.4</v>
      </c>
    </row>
    <row r="293" spans="1:14" x14ac:dyDescent="0.2">
      <c r="A293" t="s">
        <v>113</v>
      </c>
      <c r="B293" s="1">
        <v>45330</v>
      </c>
      <c r="C293" t="s">
        <v>16</v>
      </c>
      <c r="D293">
        <v>1</v>
      </c>
      <c r="E293" s="1">
        <v>45341</v>
      </c>
      <c r="F293" t="s">
        <v>129</v>
      </c>
      <c r="G293">
        <v>500</v>
      </c>
      <c r="H293">
        <v>250</v>
      </c>
      <c r="I293">
        <v>17</v>
      </c>
      <c r="J293">
        <v>1</v>
      </c>
      <c r="K293">
        <v>15</v>
      </c>
      <c r="L293" s="1">
        <v>45368</v>
      </c>
      <c r="M293">
        <f t="shared" si="8"/>
        <v>16</v>
      </c>
      <c r="N293">
        <f t="shared" si="9"/>
        <v>-249</v>
      </c>
    </row>
    <row r="294" spans="1:14" x14ac:dyDescent="0.2">
      <c r="A294" t="s">
        <v>23</v>
      </c>
      <c r="B294" s="1">
        <v>45308</v>
      </c>
      <c r="C294" t="s">
        <v>19</v>
      </c>
      <c r="D294">
        <v>2</v>
      </c>
      <c r="E294" s="1">
        <v>45310</v>
      </c>
      <c r="F294" t="s">
        <v>131</v>
      </c>
      <c r="G294">
        <v>200</v>
      </c>
      <c r="H294">
        <v>0</v>
      </c>
      <c r="I294">
        <v>306</v>
      </c>
      <c r="J294">
        <v>92</v>
      </c>
      <c r="K294">
        <v>6</v>
      </c>
      <c r="L294" s="1">
        <v>45315</v>
      </c>
      <c r="M294">
        <f t="shared" si="8"/>
        <v>214</v>
      </c>
      <c r="N294">
        <f t="shared" si="9"/>
        <v>208</v>
      </c>
    </row>
    <row r="295" spans="1:14" x14ac:dyDescent="0.2">
      <c r="A295" t="s">
        <v>51</v>
      </c>
      <c r="B295" s="1">
        <v>45436</v>
      </c>
      <c r="C295" t="s">
        <v>16</v>
      </c>
      <c r="D295">
        <v>2</v>
      </c>
      <c r="E295" s="1">
        <v>45581</v>
      </c>
      <c r="F295" t="s">
        <v>130</v>
      </c>
      <c r="G295">
        <v>500</v>
      </c>
      <c r="H295">
        <v>250</v>
      </c>
      <c r="I295">
        <v>292</v>
      </c>
      <c r="J295">
        <v>274</v>
      </c>
      <c r="K295">
        <v>15</v>
      </c>
      <c r="L295" s="1">
        <v>45583</v>
      </c>
      <c r="M295">
        <f t="shared" si="8"/>
        <v>18</v>
      </c>
      <c r="N295">
        <f t="shared" si="9"/>
        <v>-247</v>
      </c>
    </row>
    <row r="296" spans="1:14" x14ac:dyDescent="0.2">
      <c r="A296" t="s">
        <v>119</v>
      </c>
      <c r="B296" s="1">
        <v>45405</v>
      </c>
      <c r="C296" t="s">
        <v>16</v>
      </c>
      <c r="D296">
        <v>1</v>
      </c>
      <c r="E296" s="1">
        <v>45499</v>
      </c>
      <c r="F296" t="s">
        <v>130</v>
      </c>
      <c r="G296">
        <v>50</v>
      </c>
      <c r="H296">
        <v>10</v>
      </c>
      <c r="I296">
        <v>472</v>
      </c>
      <c r="J296">
        <v>261</v>
      </c>
      <c r="K296">
        <v>1.5</v>
      </c>
      <c r="L296" s="1">
        <v>45520</v>
      </c>
      <c r="M296">
        <f t="shared" si="8"/>
        <v>211</v>
      </c>
      <c r="N296">
        <f t="shared" si="9"/>
        <v>199.5</v>
      </c>
    </row>
    <row r="297" spans="1:14" x14ac:dyDescent="0.2">
      <c r="A297" t="s">
        <v>110</v>
      </c>
      <c r="B297" s="1">
        <v>45330</v>
      </c>
      <c r="C297" t="s">
        <v>19</v>
      </c>
      <c r="D297">
        <v>2</v>
      </c>
      <c r="E297" s="1">
        <v>45380</v>
      </c>
      <c r="F297" t="s">
        <v>131</v>
      </c>
      <c r="G297">
        <v>20</v>
      </c>
      <c r="H297">
        <v>10</v>
      </c>
      <c r="I297">
        <v>632</v>
      </c>
      <c r="J297">
        <v>354</v>
      </c>
      <c r="K297">
        <v>0.6</v>
      </c>
      <c r="L297" s="1">
        <v>45389</v>
      </c>
      <c r="M297">
        <f t="shared" si="8"/>
        <v>278</v>
      </c>
      <c r="N297">
        <f t="shared" si="9"/>
        <v>267.39999999999998</v>
      </c>
    </row>
    <row r="298" spans="1:14" x14ac:dyDescent="0.2">
      <c r="A298" t="s">
        <v>92</v>
      </c>
      <c r="B298" s="1">
        <v>45312</v>
      </c>
      <c r="C298" t="s">
        <v>19</v>
      </c>
      <c r="D298">
        <v>1</v>
      </c>
      <c r="E298" s="1">
        <v>45447</v>
      </c>
      <c r="F298" t="s">
        <v>129</v>
      </c>
      <c r="G298">
        <v>500</v>
      </c>
      <c r="H298">
        <v>100</v>
      </c>
      <c r="I298">
        <v>397</v>
      </c>
      <c r="J298">
        <v>311</v>
      </c>
      <c r="K298">
        <v>15</v>
      </c>
      <c r="L298" s="1">
        <v>45475</v>
      </c>
      <c r="M298">
        <f t="shared" si="8"/>
        <v>86</v>
      </c>
      <c r="N298">
        <f t="shared" si="9"/>
        <v>-29</v>
      </c>
    </row>
    <row r="299" spans="1:14" x14ac:dyDescent="0.2">
      <c r="A299" t="s">
        <v>104</v>
      </c>
      <c r="B299" s="1">
        <v>45413</v>
      </c>
      <c r="C299" t="s">
        <v>13</v>
      </c>
      <c r="D299">
        <v>3</v>
      </c>
      <c r="E299" s="1">
        <v>45443</v>
      </c>
      <c r="F299" t="s">
        <v>131</v>
      </c>
      <c r="G299">
        <v>50</v>
      </c>
      <c r="H299">
        <v>10</v>
      </c>
      <c r="I299">
        <v>199</v>
      </c>
      <c r="J299">
        <v>178</v>
      </c>
      <c r="K299">
        <v>1.5</v>
      </c>
      <c r="L299" s="1">
        <v>45463</v>
      </c>
      <c r="M299">
        <f t="shared" si="8"/>
        <v>21</v>
      </c>
      <c r="N299">
        <f t="shared" si="9"/>
        <v>9.5</v>
      </c>
    </row>
    <row r="300" spans="1:14" x14ac:dyDescent="0.2">
      <c r="A300" t="s">
        <v>113</v>
      </c>
      <c r="B300" s="1">
        <v>45404</v>
      </c>
      <c r="C300" t="s">
        <v>22</v>
      </c>
      <c r="D300">
        <v>3</v>
      </c>
      <c r="E300" s="1">
        <v>45508</v>
      </c>
      <c r="F300" t="s">
        <v>130</v>
      </c>
      <c r="G300">
        <v>20</v>
      </c>
      <c r="H300">
        <v>10</v>
      </c>
      <c r="I300">
        <v>293</v>
      </c>
      <c r="J300">
        <v>48</v>
      </c>
      <c r="K300">
        <v>0.6</v>
      </c>
      <c r="L300" s="1">
        <v>45520</v>
      </c>
      <c r="M300">
        <f t="shared" si="8"/>
        <v>245</v>
      </c>
      <c r="N300">
        <f t="shared" si="9"/>
        <v>234.4</v>
      </c>
    </row>
    <row r="301" spans="1:14" x14ac:dyDescent="0.2">
      <c r="A301" t="s">
        <v>82</v>
      </c>
      <c r="B301" s="1">
        <v>45462</v>
      </c>
      <c r="C301" t="s">
        <v>26</v>
      </c>
      <c r="D301">
        <v>2</v>
      </c>
      <c r="E301" s="1">
        <v>45507</v>
      </c>
      <c r="F301" t="s">
        <v>128</v>
      </c>
      <c r="G301">
        <v>20</v>
      </c>
      <c r="H301">
        <v>4</v>
      </c>
      <c r="I301">
        <v>652</v>
      </c>
      <c r="J301">
        <v>553</v>
      </c>
      <c r="K301">
        <v>0.6</v>
      </c>
      <c r="L301" s="1">
        <v>45534</v>
      </c>
      <c r="M301">
        <f t="shared" si="8"/>
        <v>99</v>
      </c>
      <c r="N301">
        <f t="shared" si="9"/>
        <v>94.4</v>
      </c>
    </row>
    <row r="302" spans="1:14" x14ac:dyDescent="0.2">
      <c r="A302" t="s">
        <v>116</v>
      </c>
      <c r="B302" s="1">
        <v>45451</v>
      </c>
      <c r="C302" t="s">
        <v>13</v>
      </c>
      <c r="D302">
        <v>1</v>
      </c>
      <c r="E302" s="1">
        <v>45456</v>
      </c>
      <c r="F302" t="s">
        <v>129</v>
      </c>
      <c r="G302">
        <v>500</v>
      </c>
      <c r="H302">
        <v>100</v>
      </c>
      <c r="I302">
        <v>401</v>
      </c>
      <c r="J302">
        <v>347</v>
      </c>
      <c r="K302">
        <v>15</v>
      </c>
      <c r="L302" s="1">
        <v>45476</v>
      </c>
      <c r="M302">
        <f t="shared" si="8"/>
        <v>54</v>
      </c>
      <c r="N302">
        <f t="shared" si="9"/>
        <v>-61</v>
      </c>
    </row>
    <row r="303" spans="1:14" x14ac:dyDescent="0.2">
      <c r="A303" t="s">
        <v>37</v>
      </c>
      <c r="B303" s="1">
        <v>45292</v>
      </c>
      <c r="C303" t="s">
        <v>19</v>
      </c>
      <c r="D303">
        <v>3</v>
      </c>
      <c r="E303" s="1">
        <v>45433</v>
      </c>
      <c r="F303" t="s">
        <v>129</v>
      </c>
      <c r="G303">
        <v>0</v>
      </c>
      <c r="H303">
        <v>0</v>
      </c>
      <c r="I303">
        <v>116</v>
      </c>
      <c r="J303">
        <v>56</v>
      </c>
      <c r="K303">
        <v>0</v>
      </c>
      <c r="L303" s="1">
        <v>45442</v>
      </c>
      <c r="M303">
        <f t="shared" si="8"/>
        <v>60</v>
      </c>
      <c r="N303">
        <f t="shared" si="9"/>
        <v>60</v>
      </c>
    </row>
    <row r="304" spans="1:14" x14ac:dyDescent="0.2">
      <c r="A304" t="s">
        <v>34</v>
      </c>
      <c r="B304" s="1">
        <v>45371</v>
      </c>
      <c r="C304" t="s">
        <v>26</v>
      </c>
      <c r="D304">
        <v>2</v>
      </c>
      <c r="E304" s="1">
        <v>45375</v>
      </c>
      <c r="F304" t="s">
        <v>130</v>
      </c>
      <c r="G304">
        <v>200</v>
      </c>
      <c r="H304">
        <v>40</v>
      </c>
      <c r="I304">
        <v>77</v>
      </c>
      <c r="J304">
        <v>52</v>
      </c>
      <c r="K304">
        <v>6</v>
      </c>
      <c r="L304" s="1">
        <v>45396</v>
      </c>
      <c r="M304">
        <f t="shared" si="8"/>
        <v>25</v>
      </c>
      <c r="N304">
        <f t="shared" si="9"/>
        <v>-21</v>
      </c>
    </row>
    <row r="305" spans="1:14" x14ac:dyDescent="0.2">
      <c r="A305" t="s">
        <v>88</v>
      </c>
      <c r="B305" s="1">
        <v>45407</v>
      </c>
      <c r="C305" t="s">
        <v>16</v>
      </c>
      <c r="D305">
        <v>3</v>
      </c>
      <c r="E305" s="1">
        <v>45445</v>
      </c>
      <c r="F305" t="s">
        <v>129</v>
      </c>
      <c r="G305">
        <v>100</v>
      </c>
      <c r="H305">
        <v>50</v>
      </c>
      <c r="I305">
        <v>797</v>
      </c>
      <c r="J305">
        <v>410</v>
      </c>
      <c r="K305">
        <v>3</v>
      </c>
      <c r="L305" s="1">
        <v>45453</v>
      </c>
      <c r="M305">
        <f t="shared" si="8"/>
        <v>387</v>
      </c>
      <c r="N305">
        <f t="shared" si="9"/>
        <v>334</v>
      </c>
    </row>
    <row r="306" spans="1:14" x14ac:dyDescent="0.2">
      <c r="A306" t="s">
        <v>33</v>
      </c>
      <c r="B306" s="1">
        <v>45462</v>
      </c>
      <c r="C306" t="s">
        <v>22</v>
      </c>
      <c r="D306">
        <v>2</v>
      </c>
      <c r="E306" s="1">
        <v>45526</v>
      </c>
      <c r="F306" t="s">
        <v>131</v>
      </c>
      <c r="G306">
        <v>20</v>
      </c>
      <c r="H306">
        <v>0</v>
      </c>
      <c r="I306">
        <v>191</v>
      </c>
      <c r="J306">
        <v>169</v>
      </c>
      <c r="K306">
        <v>0.6</v>
      </c>
      <c r="L306" s="1">
        <v>45541</v>
      </c>
      <c r="M306">
        <f t="shared" si="8"/>
        <v>22</v>
      </c>
      <c r="N306">
        <f t="shared" si="9"/>
        <v>21.4</v>
      </c>
    </row>
    <row r="307" spans="1:14" x14ac:dyDescent="0.2">
      <c r="A307" t="s">
        <v>35</v>
      </c>
      <c r="B307" s="1">
        <v>45338</v>
      </c>
      <c r="C307" t="s">
        <v>26</v>
      </c>
      <c r="D307">
        <v>1</v>
      </c>
      <c r="E307" s="1">
        <v>45354</v>
      </c>
      <c r="F307" t="s">
        <v>129</v>
      </c>
      <c r="G307">
        <v>500</v>
      </c>
      <c r="H307">
        <v>100</v>
      </c>
      <c r="I307">
        <v>37</v>
      </c>
      <c r="J307">
        <v>3</v>
      </c>
      <c r="K307">
        <v>15</v>
      </c>
      <c r="L307" s="1">
        <v>45376</v>
      </c>
      <c r="M307">
        <f t="shared" si="8"/>
        <v>34</v>
      </c>
      <c r="N307">
        <f t="shared" si="9"/>
        <v>-81</v>
      </c>
    </row>
    <row r="308" spans="1:14" x14ac:dyDescent="0.2">
      <c r="A308" t="s">
        <v>80</v>
      </c>
      <c r="B308" s="1">
        <v>45443</v>
      </c>
      <c r="C308" t="s">
        <v>13</v>
      </c>
      <c r="D308">
        <v>3</v>
      </c>
      <c r="E308" s="1">
        <v>45542</v>
      </c>
      <c r="F308" t="s">
        <v>131</v>
      </c>
      <c r="G308">
        <v>200</v>
      </c>
      <c r="H308">
        <v>40</v>
      </c>
      <c r="I308">
        <v>985</v>
      </c>
      <c r="J308">
        <v>900</v>
      </c>
      <c r="K308">
        <v>6</v>
      </c>
      <c r="L308" s="1">
        <v>45558</v>
      </c>
      <c r="M308">
        <f t="shared" si="8"/>
        <v>85</v>
      </c>
      <c r="N308">
        <f t="shared" si="9"/>
        <v>39</v>
      </c>
    </row>
    <row r="309" spans="1:14" x14ac:dyDescent="0.2">
      <c r="A309" t="s">
        <v>35</v>
      </c>
      <c r="B309" s="1">
        <v>45369</v>
      </c>
      <c r="C309" t="s">
        <v>22</v>
      </c>
      <c r="D309">
        <v>3</v>
      </c>
      <c r="E309" s="1">
        <v>45450</v>
      </c>
      <c r="F309" t="s">
        <v>130</v>
      </c>
      <c r="G309">
        <v>0</v>
      </c>
      <c r="H309">
        <v>0</v>
      </c>
      <c r="I309">
        <v>347</v>
      </c>
      <c r="J309">
        <v>185</v>
      </c>
      <c r="K309">
        <v>0</v>
      </c>
      <c r="L309" s="1">
        <v>45460</v>
      </c>
      <c r="M309">
        <f t="shared" si="8"/>
        <v>162</v>
      </c>
      <c r="N309">
        <f t="shared" si="9"/>
        <v>162</v>
      </c>
    </row>
    <row r="310" spans="1:14" x14ac:dyDescent="0.2">
      <c r="A310" t="s">
        <v>24</v>
      </c>
      <c r="B310" s="1">
        <v>45470</v>
      </c>
      <c r="C310" t="s">
        <v>19</v>
      </c>
      <c r="D310">
        <v>3</v>
      </c>
      <c r="E310" s="1">
        <v>45568</v>
      </c>
      <c r="F310" t="s">
        <v>130</v>
      </c>
      <c r="G310">
        <v>0</v>
      </c>
      <c r="H310">
        <v>0</v>
      </c>
      <c r="I310">
        <v>721</v>
      </c>
      <c r="J310">
        <v>354</v>
      </c>
      <c r="K310">
        <v>0</v>
      </c>
      <c r="L310" s="1">
        <v>45592</v>
      </c>
      <c r="M310">
        <f t="shared" si="8"/>
        <v>367</v>
      </c>
      <c r="N310">
        <f t="shared" si="9"/>
        <v>367</v>
      </c>
    </row>
    <row r="311" spans="1:14" x14ac:dyDescent="0.2">
      <c r="A311" t="s">
        <v>113</v>
      </c>
      <c r="B311" s="1">
        <v>45456</v>
      </c>
      <c r="C311" t="s">
        <v>26</v>
      </c>
      <c r="D311">
        <v>3</v>
      </c>
      <c r="E311" s="1">
        <v>45508</v>
      </c>
      <c r="F311" t="s">
        <v>128</v>
      </c>
      <c r="G311">
        <v>0</v>
      </c>
      <c r="H311">
        <v>0</v>
      </c>
      <c r="I311">
        <v>405</v>
      </c>
      <c r="J311">
        <v>317</v>
      </c>
      <c r="K311">
        <v>0</v>
      </c>
      <c r="L311" s="1">
        <v>45511</v>
      </c>
      <c r="M311">
        <f t="shared" si="8"/>
        <v>88</v>
      </c>
      <c r="N311">
        <f t="shared" si="9"/>
        <v>88</v>
      </c>
    </row>
    <row r="312" spans="1:14" x14ac:dyDescent="0.2">
      <c r="A312" t="s">
        <v>23</v>
      </c>
      <c r="B312" s="1">
        <v>45438</v>
      </c>
      <c r="C312" t="s">
        <v>26</v>
      </c>
      <c r="D312">
        <v>1</v>
      </c>
      <c r="E312" s="1">
        <v>45516</v>
      </c>
      <c r="F312" t="s">
        <v>128</v>
      </c>
      <c r="G312">
        <v>200</v>
      </c>
      <c r="H312">
        <v>40</v>
      </c>
      <c r="I312">
        <v>299</v>
      </c>
      <c r="J312">
        <v>53</v>
      </c>
      <c r="K312">
        <v>6</v>
      </c>
      <c r="L312" s="1">
        <v>45523</v>
      </c>
      <c r="M312">
        <f t="shared" si="8"/>
        <v>246</v>
      </c>
      <c r="N312">
        <f t="shared" si="9"/>
        <v>200</v>
      </c>
    </row>
    <row r="313" spans="1:14" x14ac:dyDescent="0.2">
      <c r="A313" t="s">
        <v>111</v>
      </c>
      <c r="B313" s="1">
        <v>45311</v>
      </c>
      <c r="C313" t="s">
        <v>13</v>
      </c>
      <c r="D313">
        <v>3</v>
      </c>
      <c r="E313" s="1">
        <v>45491</v>
      </c>
      <c r="F313" t="s">
        <v>129</v>
      </c>
      <c r="G313">
        <v>200</v>
      </c>
      <c r="H313">
        <v>0</v>
      </c>
      <c r="I313">
        <v>296</v>
      </c>
      <c r="J313">
        <v>219</v>
      </c>
      <c r="K313">
        <v>6</v>
      </c>
      <c r="L313" s="1">
        <v>45500</v>
      </c>
      <c r="M313">
        <f t="shared" si="8"/>
        <v>77</v>
      </c>
      <c r="N313">
        <f t="shared" si="9"/>
        <v>71</v>
      </c>
    </row>
    <row r="314" spans="1:14" x14ac:dyDescent="0.2">
      <c r="A314" t="s">
        <v>89</v>
      </c>
      <c r="B314" s="1">
        <v>45305</v>
      </c>
      <c r="C314" t="s">
        <v>16</v>
      </c>
      <c r="D314">
        <v>2</v>
      </c>
      <c r="E314" s="1">
        <v>45484</v>
      </c>
      <c r="F314" t="s">
        <v>128</v>
      </c>
      <c r="G314">
        <v>200</v>
      </c>
      <c r="H314">
        <v>40</v>
      </c>
      <c r="I314">
        <v>978</v>
      </c>
      <c r="J314">
        <v>547</v>
      </c>
      <c r="K314">
        <v>6</v>
      </c>
      <c r="L314" s="1">
        <v>45499</v>
      </c>
      <c r="M314">
        <f t="shared" si="8"/>
        <v>431</v>
      </c>
      <c r="N314">
        <f t="shared" si="9"/>
        <v>385</v>
      </c>
    </row>
    <row r="315" spans="1:14" x14ac:dyDescent="0.2">
      <c r="A315" t="s">
        <v>108</v>
      </c>
      <c r="B315" s="1">
        <v>45455</v>
      </c>
      <c r="C315" t="s">
        <v>26</v>
      </c>
      <c r="D315">
        <v>1</v>
      </c>
      <c r="E315" s="1">
        <v>45494</v>
      </c>
      <c r="F315" t="s">
        <v>128</v>
      </c>
      <c r="G315">
        <v>50</v>
      </c>
      <c r="H315">
        <v>0</v>
      </c>
      <c r="I315">
        <v>387</v>
      </c>
      <c r="J315">
        <v>68</v>
      </c>
      <c r="K315">
        <v>1.5</v>
      </c>
      <c r="L315" s="1">
        <v>45510</v>
      </c>
      <c r="M315">
        <f t="shared" si="8"/>
        <v>319</v>
      </c>
      <c r="N315">
        <f t="shared" si="9"/>
        <v>317.5</v>
      </c>
    </row>
    <row r="316" spans="1:14" x14ac:dyDescent="0.2">
      <c r="A316" t="s">
        <v>79</v>
      </c>
      <c r="B316" s="1">
        <v>45432</v>
      </c>
      <c r="C316" t="s">
        <v>26</v>
      </c>
      <c r="D316">
        <v>3</v>
      </c>
      <c r="E316" s="1">
        <v>45469</v>
      </c>
      <c r="F316" t="s">
        <v>128</v>
      </c>
      <c r="G316">
        <v>100</v>
      </c>
      <c r="H316">
        <v>0</v>
      </c>
      <c r="I316">
        <v>929</v>
      </c>
      <c r="J316">
        <v>459</v>
      </c>
      <c r="K316">
        <v>3</v>
      </c>
      <c r="L316" s="1">
        <v>45492</v>
      </c>
      <c r="M316">
        <f t="shared" si="8"/>
        <v>470</v>
      </c>
      <c r="N316">
        <f t="shared" si="9"/>
        <v>467</v>
      </c>
    </row>
    <row r="317" spans="1:14" x14ac:dyDescent="0.2">
      <c r="A317" t="s">
        <v>12</v>
      </c>
      <c r="B317" s="1">
        <v>45371</v>
      </c>
      <c r="C317" t="s">
        <v>19</v>
      </c>
      <c r="D317">
        <v>1</v>
      </c>
      <c r="E317" s="1">
        <v>45390</v>
      </c>
      <c r="F317" t="s">
        <v>129</v>
      </c>
      <c r="G317">
        <v>100</v>
      </c>
      <c r="H317">
        <v>20</v>
      </c>
      <c r="I317">
        <v>813</v>
      </c>
      <c r="J317">
        <v>59</v>
      </c>
      <c r="K317">
        <v>3</v>
      </c>
      <c r="L317" s="1">
        <v>45404</v>
      </c>
      <c r="M317">
        <f t="shared" si="8"/>
        <v>754</v>
      </c>
      <c r="N317">
        <f t="shared" si="9"/>
        <v>731</v>
      </c>
    </row>
    <row r="318" spans="1:14" x14ac:dyDescent="0.2">
      <c r="A318" t="s">
        <v>70</v>
      </c>
      <c r="B318" s="1">
        <v>45370</v>
      </c>
      <c r="C318" t="s">
        <v>22</v>
      </c>
      <c r="D318">
        <v>2</v>
      </c>
      <c r="E318" s="1">
        <v>45449</v>
      </c>
      <c r="F318" t="s">
        <v>130</v>
      </c>
      <c r="G318">
        <v>50</v>
      </c>
      <c r="H318">
        <v>25</v>
      </c>
      <c r="I318">
        <v>619</v>
      </c>
      <c r="J318">
        <v>289</v>
      </c>
      <c r="K318">
        <v>1.5</v>
      </c>
      <c r="L318" s="1">
        <v>45451</v>
      </c>
      <c r="M318">
        <f t="shared" si="8"/>
        <v>330</v>
      </c>
      <c r="N318">
        <f t="shared" si="9"/>
        <v>303.5</v>
      </c>
    </row>
    <row r="319" spans="1:14" x14ac:dyDescent="0.2">
      <c r="A319" t="s">
        <v>48</v>
      </c>
      <c r="B319" s="1">
        <v>45355</v>
      </c>
      <c r="C319" t="s">
        <v>22</v>
      </c>
      <c r="D319">
        <v>2</v>
      </c>
      <c r="E319" s="1">
        <v>45507</v>
      </c>
      <c r="F319" t="s">
        <v>129</v>
      </c>
      <c r="G319">
        <v>200</v>
      </c>
      <c r="H319">
        <v>40</v>
      </c>
      <c r="I319">
        <v>128</v>
      </c>
      <c r="J319">
        <v>23</v>
      </c>
      <c r="K319">
        <v>6</v>
      </c>
      <c r="L319" s="1">
        <v>45528</v>
      </c>
      <c r="M319">
        <f t="shared" si="8"/>
        <v>105</v>
      </c>
      <c r="N319">
        <f t="shared" si="9"/>
        <v>59</v>
      </c>
    </row>
    <row r="320" spans="1:14" x14ac:dyDescent="0.2">
      <c r="A320" t="s">
        <v>109</v>
      </c>
      <c r="B320" s="1">
        <v>45393</v>
      </c>
      <c r="C320" t="s">
        <v>16</v>
      </c>
      <c r="D320">
        <v>1</v>
      </c>
      <c r="E320" s="1">
        <v>45434</v>
      </c>
      <c r="F320" t="s">
        <v>131</v>
      </c>
      <c r="G320">
        <v>0</v>
      </c>
      <c r="H320">
        <v>0</v>
      </c>
      <c r="I320">
        <v>329</v>
      </c>
      <c r="J320">
        <v>84</v>
      </c>
      <c r="K320">
        <v>0</v>
      </c>
      <c r="L320" s="1">
        <v>45438</v>
      </c>
      <c r="M320">
        <f t="shared" si="8"/>
        <v>245</v>
      </c>
      <c r="N320">
        <f t="shared" si="9"/>
        <v>245</v>
      </c>
    </row>
    <row r="321" spans="1:14" x14ac:dyDescent="0.2">
      <c r="A321" t="s">
        <v>21</v>
      </c>
      <c r="B321" s="1">
        <v>45406</v>
      </c>
      <c r="C321" t="s">
        <v>19</v>
      </c>
      <c r="D321">
        <v>1</v>
      </c>
      <c r="E321" s="1">
        <v>45493</v>
      </c>
      <c r="F321" t="s">
        <v>129</v>
      </c>
      <c r="G321">
        <v>0</v>
      </c>
      <c r="H321">
        <v>0</v>
      </c>
      <c r="I321">
        <v>376</v>
      </c>
      <c r="J321">
        <v>195</v>
      </c>
      <c r="K321">
        <v>0</v>
      </c>
      <c r="L321" s="1">
        <v>45519</v>
      </c>
      <c r="M321">
        <f t="shared" si="8"/>
        <v>181</v>
      </c>
      <c r="N321">
        <f t="shared" si="9"/>
        <v>181</v>
      </c>
    </row>
    <row r="322" spans="1:14" x14ac:dyDescent="0.2">
      <c r="A322" t="s">
        <v>51</v>
      </c>
      <c r="B322" s="1">
        <v>45317</v>
      </c>
      <c r="C322" t="s">
        <v>13</v>
      </c>
      <c r="D322">
        <v>1</v>
      </c>
      <c r="E322" s="1">
        <v>45453</v>
      </c>
      <c r="F322" t="s">
        <v>129</v>
      </c>
      <c r="G322">
        <v>200</v>
      </c>
      <c r="H322">
        <v>40</v>
      </c>
      <c r="I322">
        <v>401</v>
      </c>
      <c r="J322">
        <v>111</v>
      </c>
      <c r="K322">
        <v>6</v>
      </c>
      <c r="L322" s="1">
        <v>45480</v>
      </c>
      <c r="M322">
        <f t="shared" si="8"/>
        <v>290</v>
      </c>
      <c r="N322">
        <f t="shared" si="9"/>
        <v>244</v>
      </c>
    </row>
    <row r="323" spans="1:14" x14ac:dyDescent="0.2">
      <c r="A323" t="s">
        <v>89</v>
      </c>
      <c r="B323" s="1">
        <v>45403</v>
      </c>
      <c r="C323" t="s">
        <v>16</v>
      </c>
      <c r="D323">
        <v>1</v>
      </c>
      <c r="E323" s="1">
        <v>45432</v>
      </c>
      <c r="F323" t="s">
        <v>128</v>
      </c>
      <c r="G323">
        <v>50</v>
      </c>
      <c r="H323">
        <v>25</v>
      </c>
      <c r="I323">
        <v>771</v>
      </c>
      <c r="J323">
        <v>242</v>
      </c>
      <c r="K323">
        <v>1.5</v>
      </c>
      <c r="L323" s="1">
        <v>45443</v>
      </c>
      <c r="M323">
        <f t="shared" ref="M323:M386" si="10">I323-J323</f>
        <v>529</v>
      </c>
      <c r="N323">
        <f t="shared" ref="N323:N386" si="11">M323-H323-K323</f>
        <v>502.5</v>
      </c>
    </row>
    <row r="324" spans="1:14" x14ac:dyDescent="0.2">
      <c r="A324" t="s">
        <v>27</v>
      </c>
      <c r="B324" s="1">
        <v>45359</v>
      </c>
      <c r="C324" t="s">
        <v>19</v>
      </c>
      <c r="D324">
        <v>2</v>
      </c>
      <c r="E324" s="1">
        <v>45466</v>
      </c>
      <c r="F324" t="s">
        <v>131</v>
      </c>
      <c r="G324">
        <v>20</v>
      </c>
      <c r="H324">
        <v>4</v>
      </c>
      <c r="I324">
        <v>656</v>
      </c>
      <c r="J324">
        <v>452</v>
      </c>
      <c r="K324">
        <v>0.6</v>
      </c>
      <c r="L324" s="1">
        <v>45467</v>
      </c>
      <c r="M324">
        <f t="shared" si="10"/>
        <v>204</v>
      </c>
      <c r="N324">
        <f t="shared" si="11"/>
        <v>199.4</v>
      </c>
    </row>
    <row r="325" spans="1:14" x14ac:dyDescent="0.2">
      <c r="A325" t="s">
        <v>27</v>
      </c>
      <c r="B325" s="1">
        <v>45434</v>
      </c>
      <c r="C325" t="s">
        <v>26</v>
      </c>
      <c r="D325">
        <v>1</v>
      </c>
      <c r="E325" s="1">
        <v>45589</v>
      </c>
      <c r="F325" t="s">
        <v>130</v>
      </c>
      <c r="G325">
        <v>0</v>
      </c>
      <c r="H325">
        <v>0</v>
      </c>
      <c r="I325">
        <v>79</v>
      </c>
      <c r="J325">
        <v>12</v>
      </c>
      <c r="K325">
        <v>0</v>
      </c>
      <c r="L325" s="1">
        <v>45598</v>
      </c>
      <c r="M325">
        <f t="shared" si="10"/>
        <v>67</v>
      </c>
      <c r="N325">
        <f t="shared" si="11"/>
        <v>67</v>
      </c>
    </row>
    <row r="326" spans="1:14" x14ac:dyDescent="0.2">
      <c r="A326" t="s">
        <v>44</v>
      </c>
      <c r="B326" s="1">
        <v>45359</v>
      </c>
      <c r="C326" t="s">
        <v>26</v>
      </c>
      <c r="D326">
        <v>1</v>
      </c>
      <c r="E326" s="1">
        <v>45449</v>
      </c>
      <c r="F326" t="s">
        <v>130</v>
      </c>
      <c r="G326">
        <v>0</v>
      </c>
      <c r="H326">
        <v>0</v>
      </c>
      <c r="I326">
        <v>397</v>
      </c>
      <c r="J326">
        <v>221</v>
      </c>
      <c r="K326">
        <v>0</v>
      </c>
      <c r="L326" s="1">
        <v>45449</v>
      </c>
      <c r="M326">
        <f t="shared" si="10"/>
        <v>176</v>
      </c>
      <c r="N326">
        <f t="shared" si="11"/>
        <v>176</v>
      </c>
    </row>
    <row r="327" spans="1:14" x14ac:dyDescent="0.2">
      <c r="A327" t="s">
        <v>105</v>
      </c>
      <c r="B327" s="1">
        <v>45349</v>
      </c>
      <c r="C327" t="s">
        <v>13</v>
      </c>
      <c r="D327">
        <v>3</v>
      </c>
      <c r="E327" s="1">
        <v>45424</v>
      </c>
      <c r="F327" t="s">
        <v>130</v>
      </c>
      <c r="G327">
        <v>0</v>
      </c>
      <c r="H327">
        <v>0</v>
      </c>
      <c r="I327">
        <v>545</v>
      </c>
      <c r="J327">
        <v>110</v>
      </c>
      <c r="K327">
        <v>0</v>
      </c>
      <c r="L327" s="1">
        <v>45438</v>
      </c>
      <c r="M327">
        <f t="shared" si="10"/>
        <v>435</v>
      </c>
      <c r="N327">
        <f t="shared" si="11"/>
        <v>435</v>
      </c>
    </row>
    <row r="328" spans="1:14" x14ac:dyDescent="0.2">
      <c r="A328" t="s">
        <v>46</v>
      </c>
      <c r="B328" s="1">
        <v>45403</v>
      </c>
      <c r="C328" t="s">
        <v>13</v>
      </c>
      <c r="D328">
        <v>3</v>
      </c>
      <c r="E328" s="1">
        <v>45577</v>
      </c>
      <c r="F328" t="s">
        <v>131</v>
      </c>
      <c r="G328">
        <v>100</v>
      </c>
      <c r="H328">
        <v>0</v>
      </c>
      <c r="I328">
        <v>215</v>
      </c>
      <c r="J328">
        <v>13</v>
      </c>
      <c r="K328">
        <v>3</v>
      </c>
      <c r="L328" s="1">
        <v>45593</v>
      </c>
      <c r="M328">
        <f t="shared" si="10"/>
        <v>202</v>
      </c>
      <c r="N328">
        <f t="shared" si="11"/>
        <v>199</v>
      </c>
    </row>
    <row r="329" spans="1:14" x14ac:dyDescent="0.2">
      <c r="A329" t="s">
        <v>96</v>
      </c>
      <c r="B329" s="1">
        <v>45428</v>
      </c>
      <c r="C329" t="s">
        <v>16</v>
      </c>
      <c r="D329">
        <v>2</v>
      </c>
      <c r="E329" s="1">
        <v>45491</v>
      </c>
      <c r="F329" t="s">
        <v>128</v>
      </c>
      <c r="G329">
        <v>50</v>
      </c>
      <c r="H329">
        <v>0</v>
      </c>
      <c r="I329">
        <v>644</v>
      </c>
      <c r="J329">
        <v>621</v>
      </c>
      <c r="K329">
        <v>1.5</v>
      </c>
      <c r="L329" s="1">
        <v>45495</v>
      </c>
      <c r="M329">
        <f t="shared" si="10"/>
        <v>23</v>
      </c>
      <c r="N329">
        <f t="shared" si="11"/>
        <v>21.5</v>
      </c>
    </row>
    <row r="330" spans="1:14" x14ac:dyDescent="0.2">
      <c r="A330" t="s">
        <v>75</v>
      </c>
      <c r="B330" s="1">
        <v>45332</v>
      </c>
      <c r="C330" t="s">
        <v>13</v>
      </c>
      <c r="D330">
        <v>2</v>
      </c>
      <c r="E330" s="1">
        <v>45339</v>
      </c>
      <c r="F330" t="s">
        <v>128</v>
      </c>
      <c r="G330">
        <v>50</v>
      </c>
      <c r="H330">
        <v>25</v>
      </c>
      <c r="I330">
        <v>942</v>
      </c>
      <c r="J330">
        <v>191</v>
      </c>
      <c r="K330">
        <v>1.5</v>
      </c>
      <c r="L330" s="1">
        <v>45349</v>
      </c>
      <c r="M330">
        <f t="shared" si="10"/>
        <v>751</v>
      </c>
      <c r="N330">
        <f t="shared" si="11"/>
        <v>724.5</v>
      </c>
    </row>
    <row r="331" spans="1:14" x14ac:dyDescent="0.2">
      <c r="A331" t="s">
        <v>100</v>
      </c>
      <c r="B331" s="1">
        <v>45454</v>
      </c>
      <c r="C331" t="s">
        <v>16</v>
      </c>
      <c r="D331">
        <v>1</v>
      </c>
      <c r="E331" s="1">
        <v>45564</v>
      </c>
      <c r="F331" t="s">
        <v>129</v>
      </c>
      <c r="G331">
        <v>200</v>
      </c>
      <c r="H331">
        <v>100</v>
      </c>
      <c r="I331">
        <v>585</v>
      </c>
      <c r="J331">
        <v>130</v>
      </c>
      <c r="K331">
        <v>6</v>
      </c>
      <c r="L331" s="1">
        <v>45567</v>
      </c>
      <c r="M331">
        <f t="shared" si="10"/>
        <v>455</v>
      </c>
      <c r="N331">
        <f t="shared" si="11"/>
        <v>349</v>
      </c>
    </row>
    <row r="332" spans="1:14" x14ac:dyDescent="0.2">
      <c r="A332" t="s">
        <v>48</v>
      </c>
      <c r="B332" s="1">
        <v>45335</v>
      </c>
      <c r="C332" t="s">
        <v>13</v>
      </c>
      <c r="D332">
        <v>2</v>
      </c>
      <c r="E332" s="1">
        <v>45479</v>
      </c>
      <c r="F332" t="s">
        <v>128</v>
      </c>
      <c r="G332">
        <v>20</v>
      </c>
      <c r="H332">
        <v>0</v>
      </c>
      <c r="I332">
        <v>352</v>
      </c>
      <c r="J332">
        <v>99</v>
      </c>
      <c r="K332">
        <v>0.6</v>
      </c>
      <c r="L332" s="1">
        <v>45496</v>
      </c>
      <c r="M332">
        <f t="shared" si="10"/>
        <v>253</v>
      </c>
      <c r="N332">
        <f t="shared" si="11"/>
        <v>252.4</v>
      </c>
    </row>
    <row r="333" spans="1:14" x14ac:dyDescent="0.2">
      <c r="A333" t="s">
        <v>119</v>
      </c>
      <c r="B333" s="1">
        <v>45349</v>
      </c>
      <c r="C333" t="s">
        <v>22</v>
      </c>
      <c r="D333">
        <v>1</v>
      </c>
      <c r="E333" s="1">
        <v>45425</v>
      </c>
      <c r="F333" t="s">
        <v>131</v>
      </c>
      <c r="G333">
        <v>0</v>
      </c>
      <c r="H333">
        <v>0</v>
      </c>
      <c r="I333">
        <v>619</v>
      </c>
      <c r="J333">
        <v>540</v>
      </c>
      <c r="K333">
        <v>0</v>
      </c>
      <c r="L333" s="1">
        <v>45454</v>
      </c>
      <c r="M333">
        <f t="shared" si="10"/>
        <v>79</v>
      </c>
      <c r="N333">
        <f t="shared" si="11"/>
        <v>79</v>
      </c>
    </row>
    <row r="334" spans="1:14" x14ac:dyDescent="0.2">
      <c r="A334" t="s">
        <v>70</v>
      </c>
      <c r="B334" s="1">
        <v>45418</v>
      </c>
      <c r="C334" t="s">
        <v>22</v>
      </c>
      <c r="D334">
        <v>3</v>
      </c>
      <c r="E334" s="1">
        <v>45585</v>
      </c>
      <c r="F334" t="s">
        <v>130</v>
      </c>
      <c r="G334">
        <v>0</v>
      </c>
      <c r="H334">
        <v>0</v>
      </c>
      <c r="I334">
        <v>983</v>
      </c>
      <c r="J334">
        <v>613</v>
      </c>
      <c r="K334">
        <v>0</v>
      </c>
      <c r="L334" s="1">
        <v>45612</v>
      </c>
      <c r="M334">
        <f t="shared" si="10"/>
        <v>370</v>
      </c>
      <c r="N334">
        <f t="shared" si="11"/>
        <v>370</v>
      </c>
    </row>
    <row r="335" spans="1:14" x14ac:dyDescent="0.2">
      <c r="A335" t="s">
        <v>85</v>
      </c>
      <c r="B335" s="1">
        <v>45427</v>
      </c>
      <c r="C335" t="s">
        <v>26</v>
      </c>
      <c r="D335">
        <v>3</v>
      </c>
      <c r="E335" s="1">
        <v>45487</v>
      </c>
      <c r="F335" t="s">
        <v>131</v>
      </c>
      <c r="G335">
        <v>200</v>
      </c>
      <c r="H335">
        <v>40</v>
      </c>
      <c r="I335">
        <v>511</v>
      </c>
      <c r="J335">
        <v>467</v>
      </c>
      <c r="K335">
        <v>6</v>
      </c>
      <c r="L335" s="1">
        <v>45501</v>
      </c>
      <c r="M335">
        <f t="shared" si="10"/>
        <v>44</v>
      </c>
      <c r="N335">
        <f t="shared" si="11"/>
        <v>-2</v>
      </c>
    </row>
    <row r="336" spans="1:14" x14ac:dyDescent="0.2">
      <c r="A336" t="s">
        <v>84</v>
      </c>
      <c r="B336" s="1">
        <v>45340</v>
      </c>
      <c r="C336" t="s">
        <v>22</v>
      </c>
      <c r="D336">
        <v>2</v>
      </c>
      <c r="E336" s="1">
        <v>45520</v>
      </c>
      <c r="F336" t="s">
        <v>131</v>
      </c>
      <c r="G336">
        <v>0</v>
      </c>
      <c r="H336">
        <v>0</v>
      </c>
      <c r="I336">
        <v>454</v>
      </c>
      <c r="J336">
        <v>203</v>
      </c>
      <c r="K336">
        <v>0</v>
      </c>
      <c r="L336" s="1">
        <v>45546</v>
      </c>
      <c r="M336">
        <f t="shared" si="10"/>
        <v>251</v>
      </c>
      <c r="N336">
        <f t="shared" si="11"/>
        <v>251</v>
      </c>
    </row>
    <row r="337" spans="1:14" x14ac:dyDescent="0.2">
      <c r="A337" t="s">
        <v>36</v>
      </c>
      <c r="B337" s="1">
        <v>45397</v>
      </c>
      <c r="C337" t="s">
        <v>22</v>
      </c>
      <c r="D337">
        <v>2</v>
      </c>
      <c r="E337" s="1">
        <v>45467</v>
      </c>
      <c r="F337" t="s">
        <v>129</v>
      </c>
      <c r="G337">
        <v>200</v>
      </c>
      <c r="H337">
        <v>40</v>
      </c>
      <c r="I337">
        <v>812</v>
      </c>
      <c r="J337">
        <v>252</v>
      </c>
      <c r="K337">
        <v>6</v>
      </c>
      <c r="L337" s="1">
        <v>45477</v>
      </c>
      <c r="M337">
        <f t="shared" si="10"/>
        <v>560</v>
      </c>
      <c r="N337">
        <f t="shared" si="11"/>
        <v>514</v>
      </c>
    </row>
    <row r="338" spans="1:14" x14ac:dyDescent="0.2">
      <c r="A338" t="s">
        <v>40</v>
      </c>
      <c r="B338" s="1">
        <v>45415</v>
      </c>
      <c r="C338" t="s">
        <v>13</v>
      </c>
      <c r="D338">
        <v>3</v>
      </c>
      <c r="E338" s="1">
        <v>45465</v>
      </c>
      <c r="F338" t="s">
        <v>131</v>
      </c>
      <c r="G338">
        <v>200</v>
      </c>
      <c r="H338">
        <v>100</v>
      </c>
      <c r="I338">
        <v>855</v>
      </c>
      <c r="J338">
        <v>28</v>
      </c>
      <c r="K338">
        <v>6</v>
      </c>
      <c r="L338" s="1">
        <v>45473</v>
      </c>
      <c r="M338">
        <f t="shared" si="10"/>
        <v>827</v>
      </c>
      <c r="N338">
        <f t="shared" si="11"/>
        <v>721</v>
      </c>
    </row>
    <row r="339" spans="1:14" x14ac:dyDescent="0.2">
      <c r="A339" t="s">
        <v>120</v>
      </c>
      <c r="B339" s="1">
        <v>45382</v>
      </c>
      <c r="C339" t="s">
        <v>22</v>
      </c>
      <c r="D339">
        <v>3</v>
      </c>
      <c r="E339" s="1">
        <v>45532</v>
      </c>
      <c r="F339" t="s">
        <v>128</v>
      </c>
      <c r="G339">
        <v>20</v>
      </c>
      <c r="H339">
        <v>4</v>
      </c>
      <c r="I339">
        <v>949</v>
      </c>
      <c r="J339">
        <v>194</v>
      </c>
      <c r="K339">
        <v>0.6</v>
      </c>
      <c r="L339" s="1">
        <v>45537</v>
      </c>
      <c r="M339">
        <f t="shared" si="10"/>
        <v>755</v>
      </c>
      <c r="N339">
        <f t="shared" si="11"/>
        <v>750.4</v>
      </c>
    </row>
    <row r="340" spans="1:14" x14ac:dyDescent="0.2">
      <c r="A340" t="s">
        <v>111</v>
      </c>
      <c r="B340" s="1">
        <v>45301</v>
      </c>
      <c r="C340" t="s">
        <v>16</v>
      </c>
      <c r="D340">
        <v>2</v>
      </c>
      <c r="E340" s="1">
        <v>45343</v>
      </c>
      <c r="F340" t="s">
        <v>131</v>
      </c>
      <c r="G340">
        <v>200</v>
      </c>
      <c r="H340">
        <v>40</v>
      </c>
      <c r="I340">
        <v>645</v>
      </c>
      <c r="J340">
        <v>138</v>
      </c>
      <c r="K340">
        <v>6</v>
      </c>
      <c r="L340" s="1">
        <v>45370</v>
      </c>
      <c r="M340">
        <f t="shared" si="10"/>
        <v>507</v>
      </c>
      <c r="N340">
        <f t="shared" si="11"/>
        <v>461</v>
      </c>
    </row>
    <row r="341" spans="1:14" x14ac:dyDescent="0.2">
      <c r="A341" t="s">
        <v>89</v>
      </c>
      <c r="B341" s="1">
        <v>45425</v>
      </c>
      <c r="C341" t="s">
        <v>26</v>
      </c>
      <c r="D341">
        <v>2</v>
      </c>
      <c r="E341" s="1">
        <v>45601</v>
      </c>
      <c r="F341" t="s">
        <v>129</v>
      </c>
      <c r="G341">
        <v>500</v>
      </c>
      <c r="H341">
        <v>100</v>
      </c>
      <c r="I341">
        <v>122</v>
      </c>
      <c r="J341">
        <v>44</v>
      </c>
      <c r="K341">
        <v>15</v>
      </c>
      <c r="L341" s="1">
        <v>45603</v>
      </c>
      <c r="M341">
        <f t="shared" si="10"/>
        <v>78</v>
      </c>
      <c r="N341">
        <f t="shared" si="11"/>
        <v>-37</v>
      </c>
    </row>
    <row r="342" spans="1:14" x14ac:dyDescent="0.2">
      <c r="A342" t="s">
        <v>62</v>
      </c>
      <c r="B342" s="1">
        <v>45293</v>
      </c>
      <c r="C342" t="s">
        <v>13</v>
      </c>
      <c r="D342">
        <v>1</v>
      </c>
      <c r="E342" s="1">
        <v>45392</v>
      </c>
      <c r="F342" t="s">
        <v>130</v>
      </c>
      <c r="G342">
        <v>100</v>
      </c>
      <c r="H342">
        <v>0</v>
      </c>
      <c r="I342">
        <v>959</v>
      </c>
      <c r="J342">
        <v>644</v>
      </c>
      <c r="K342">
        <v>3</v>
      </c>
      <c r="L342" s="1">
        <v>45409</v>
      </c>
      <c r="M342">
        <f t="shared" si="10"/>
        <v>315</v>
      </c>
      <c r="N342">
        <f t="shared" si="11"/>
        <v>312</v>
      </c>
    </row>
    <row r="343" spans="1:14" x14ac:dyDescent="0.2">
      <c r="A343" t="s">
        <v>112</v>
      </c>
      <c r="B343" s="1">
        <v>45299</v>
      </c>
      <c r="C343" t="s">
        <v>19</v>
      </c>
      <c r="D343">
        <v>2</v>
      </c>
      <c r="E343" s="1">
        <v>45439</v>
      </c>
      <c r="F343" t="s">
        <v>128</v>
      </c>
      <c r="G343">
        <v>500</v>
      </c>
      <c r="H343">
        <v>0</v>
      </c>
      <c r="I343">
        <v>169</v>
      </c>
      <c r="J343">
        <v>37</v>
      </c>
      <c r="K343">
        <v>15</v>
      </c>
      <c r="L343" s="1">
        <v>45467</v>
      </c>
      <c r="M343">
        <f t="shared" si="10"/>
        <v>132</v>
      </c>
      <c r="N343">
        <f t="shared" si="11"/>
        <v>117</v>
      </c>
    </row>
    <row r="344" spans="1:14" x14ac:dyDescent="0.2">
      <c r="A344" t="s">
        <v>86</v>
      </c>
      <c r="B344" s="1">
        <v>45455</v>
      </c>
      <c r="C344" t="s">
        <v>22</v>
      </c>
      <c r="D344">
        <v>1</v>
      </c>
      <c r="E344" s="1">
        <v>45616</v>
      </c>
      <c r="F344" t="s">
        <v>129</v>
      </c>
      <c r="G344">
        <v>20</v>
      </c>
      <c r="H344">
        <v>10</v>
      </c>
      <c r="I344">
        <v>978</v>
      </c>
      <c r="J344">
        <v>476</v>
      </c>
      <c r="K344">
        <v>0.6</v>
      </c>
      <c r="L344" s="1">
        <v>45629</v>
      </c>
      <c r="M344">
        <f t="shared" si="10"/>
        <v>502</v>
      </c>
      <c r="N344">
        <f t="shared" si="11"/>
        <v>491.4</v>
      </c>
    </row>
    <row r="345" spans="1:14" x14ac:dyDescent="0.2">
      <c r="A345" t="s">
        <v>40</v>
      </c>
      <c r="B345" s="1">
        <v>45369</v>
      </c>
      <c r="C345" t="s">
        <v>13</v>
      </c>
      <c r="D345">
        <v>1</v>
      </c>
      <c r="E345" s="1">
        <v>45541</v>
      </c>
      <c r="F345" t="s">
        <v>131</v>
      </c>
      <c r="G345">
        <v>500</v>
      </c>
      <c r="H345">
        <v>100</v>
      </c>
      <c r="I345">
        <v>850</v>
      </c>
      <c r="J345">
        <v>154</v>
      </c>
      <c r="K345">
        <v>15</v>
      </c>
      <c r="L345" s="1">
        <v>45569</v>
      </c>
      <c r="M345">
        <f t="shared" si="10"/>
        <v>696</v>
      </c>
      <c r="N345">
        <f t="shared" si="11"/>
        <v>581</v>
      </c>
    </row>
    <row r="346" spans="1:14" x14ac:dyDescent="0.2">
      <c r="A346" t="s">
        <v>107</v>
      </c>
      <c r="B346" s="1">
        <v>45330</v>
      </c>
      <c r="C346" t="s">
        <v>16</v>
      </c>
      <c r="D346">
        <v>3</v>
      </c>
      <c r="E346" s="1">
        <v>45441</v>
      </c>
      <c r="F346" t="s">
        <v>128</v>
      </c>
      <c r="G346">
        <v>50</v>
      </c>
      <c r="H346">
        <v>25</v>
      </c>
      <c r="I346">
        <v>571</v>
      </c>
      <c r="J346">
        <v>154</v>
      </c>
      <c r="K346">
        <v>1.5</v>
      </c>
      <c r="L346" s="1">
        <v>45443</v>
      </c>
      <c r="M346">
        <f t="shared" si="10"/>
        <v>417</v>
      </c>
      <c r="N346">
        <f t="shared" si="11"/>
        <v>390.5</v>
      </c>
    </row>
    <row r="347" spans="1:14" x14ac:dyDescent="0.2">
      <c r="A347" t="s">
        <v>56</v>
      </c>
      <c r="B347" s="1">
        <v>45466</v>
      </c>
      <c r="C347" t="s">
        <v>13</v>
      </c>
      <c r="D347">
        <v>2</v>
      </c>
      <c r="E347" s="1">
        <v>45593</v>
      </c>
      <c r="F347" t="s">
        <v>130</v>
      </c>
      <c r="G347">
        <v>500</v>
      </c>
      <c r="H347">
        <v>100</v>
      </c>
      <c r="I347">
        <v>350</v>
      </c>
      <c r="J347">
        <v>255</v>
      </c>
      <c r="K347">
        <v>15</v>
      </c>
      <c r="L347" s="1">
        <v>45621</v>
      </c>
      <c r="M347">
        <f t="shared" si="10"/>
        <v>95</v>
      </c>
      <c r="N347">
        <f t="shared" si="11"/>
        <v>-20</v>
      </c>
    </row>
    <row r="348" spans="1:14" x14ac:dyDescent="0.2">
      <c r="A348" t="s">
        <v>59</v>
      </c>
      <c r="B348" s="1">
        <v>45352</v>
      </c>
      <c r="C348" t="s">
        <v>26</v>
      </c>
      <c r="D348">
        <v>3</v>
      </c>
      <c r="E348" s="1">
        <v>45384</v>
      </c>
      <c r="F348" t="s">
        <v>130</v>
      </c>
      <c r="G348">
        <v>0</v>
      </c>
      <c r="H348">
        <v>0</v>
      </c>
      <c r="I348">
        <v>370</v>
      </c>
      <c r="J348">
        <v>30</v>
      </c>
      <c r="K348">
        <v>0</v>
      </c>
      <c r="L348" s="1">
        <v>45412</v>
      </c>
      <c r="M348">
        <f t="shared" si="10"/>
        <v>340</v>
      </c>
      <c r="N348">
        <f t="shared" si="11"/>
        <v>340</v>
      </c>
    </row>
    <row r="349" spans="1:14" x14ac:dyDescent="0.2">
      <c r="A349" t="s">
        <v>89</v>
      </c>
      <c r="B349" s="1">
        <v>45308</v>
      </c>
      <c r="C349" t="s">
        <v>22</v>
      </c>
      <c r="D349">
        <v>1</v>
      </c>
      <c r="E349" s="1">
        <v>45474</v>
      </c>
      <c r="F349" t="s">
        <v>129</v>
      </c>
      <c r="G349">
        <v>50</v>
      </c>
      <c r="H349">
        <v>10</v>
      </c>
      <c r="I349">
        <v>848</v>
      </c>
      <c r="J349">
        <v>497</v>
      </c>
      <c r="K349">
        <v>1.5</v>
      </c>
      <c r="L349" s="1">
        <v>45491</v>
      </c>
      <c r="M349">
        <f t="shared" si="10"/>
        <v>351</v>
      </c>
      <c r="N349">
        <f t="shared" si="11"/>
        <v>339.5</v>
      </c>
    </row>
    <row r="350" spans="1:14" x14ac:dyDescent="0.2">
      <c r="A350" t="s">
        <v>56</v>
      </c>
      <c r="B350" s="1">
        <v>45408</v>
      </c>
      <c r="C350" t="s">
        <v>19</v>
      </c>
      <c r="D350">
        <v>1</v>
      </c>
      <c r="E350" s="1">
        <v>45559</v>
      </c>
      <c r="F350" t="s">
        <v>130</v>
      </c>
      <c r="G350">
        <v>500</v>
      </c>
      <c r="H350">
        <v>250</v>
      </c>
      <c r="I350">
        <v>993</v>
      </c>
      <c r="J350">
        <v>987</v>
      </c>
      <c r="K350">
        <v>15</v>
      </c>
      <c r="L350" s="1">
        <v>45578</v>
      </c>
      <c r="M350">
        <f t="shared" si="10"/>
        <v>6</v>
      </c>
      <c r="N350">
        <f t="shared" si="11"/>
        <v>-259</v>
      </c>
    </row>
    <row r="351" spans="1:14" x14ac:dyDescent="0.2">
      <c r="A351" t="s">
        <v>99</v>
      </c>
      <c r="B351" s="1">
        <v>45370</v>
      </c>
      <c r="C351" t="s">
        <v>13</v>
      </c>
      <c r="D351">
        <v>1</v>
      </c>
      <c r="E351" s="1">
        <v>45379</v>
      </c>
      <c r="F351" t="s">
        <v>131</v>
      </c>
      <c r="G351">
        <v>50</v>
      </c>
      <c r="H351">
        <v>0</v>
      </c>
      <c r="I351">
        <v>147</v>
      </c>
      <c r="J351">
        <v>21</v>
      </c>
      <c r="K351">
        <v>1.5</v>
      </c>
      <c r="L351" s="1">
        <v>45406</v>
      </c>
      <c r="M351">
        <f t="shared" si="10"/>
        <v>126</v>
      </c>
      <c r="N351">
        <f t="shared" si="11"/>
        <v>124.5</v>
      </c>
    </row>
    <row r="352" spans="1:14" x14ac:dyDescent="0.2">
      <c r="A352" t="s">
        <v>66</v>
      </c>
      <c r="B352" s="1">
        <v>45409</v>
      </c>
      <c r="C352" t="s">
        <v>26</v>
      </c>
      <c r="D352">
        <v>1</v>
      </c>
      <c r="E352" s="1">
        <v>45418</v>
      </c>
      <c r="F352" t="s">
        <v>128</v>
      </c>
      <c r="G352">
        <v>50</v>
      </c>
      <c r="H352">
        <v>10</v>
      </c>
      <c r="I352">
        <v>873</v>
      </c>
      <c r="J352">
        <v>524</v>
      </c>
      <c r="K352">
        <v>1.5</v>
      </c>
      <c r="L352" s="1">
        <v>45422</v>
      </c>
      <c r="M352">
        <f t="shared" si="10"/>
        <v>349</v>
      </c>
      <c r="N352">
        <f t="shared" si="11"/>
        <v>337.5</v>
      </c>
    </row>
    <row r="353" spans="1:14" x14ac:dyDescent="0.2">
      <c r="A353" t="s">
        <v>65</v>
      </c>
      <c r="B353" s="1">
        <v>45450</v>
      </c>
      <c r="C353" t="s">
        <v>26</v>
      </c>
      <c r="D353">
        <v>1</v>
      </c>
      <c r="E353" s="1">
        <v>45524</v>
      </c>
      <c r="F353" t="s">
        <v>130</v>
      </c>
      <c r="G353">
        <v>100</v>
      </c>
      <c r="H353">
        <v>50</v>
      </c>
      <c r="I353">
        <v>115</v>
      </c>
      <c r="J353">
        <v>107</v>
      </c>
      <c r="K353">
        <v>3</v>
      </c>
      <c r="L353" s="1">
        <v>45545</v>
      </c>
      <c r="M353">
        <f t="shared" si="10"/>
        <v>8</v>
      </c>
      <c r="N353">
        <f t="shared" si="11"/>
        <v>-45</v>
      </c>
    </row>
    <row r="354" spans="1:14" x14ac:dyDescent="0.2">
      <c r="A354" t="s">
        <v>27</v>
      </c>
      <c r="B354" s="1">
        <v>45469</v>
      </c>
      <c r="C354" t="s">
        <v>13</v>
      </c>
      <c r="D354">
        <v>1</v>
      </c>
      <c r="E354" s="1">
        <v>45475</v>
      </c>
      <c r="F354" t="s">
        <v>131</v>
      </c>
      <c r="G354">
        <v>0</v>
      </c>
      <c r="H354">
        <v>0</v>
      </c>
      <c r="I354">
        <v>708</v>
      </c>
      <c r="J354">
        <v>316</v>
      </c>
      <c r="K354">
        <v>0</v>
      </c>
      <c r="L354" s="1">
        <v>45498</v>
      </c>
      <c r="M354">
        <f t="shared" si="10"/>
        <v>392</v>
      </c>
      <c r="N354">
        <f t="shared" si="11"/>
        <v>392</v>
      </c>
    </row>
    <row r="355" spans="1:14" x14ac:dyDescent="0.2">
      <c r="A355" t="s">
        <v>38</v>
      </c>
      <c r="B355" s="1">
        <v>45382</v>
      </c>
      <c r="C355" t="s">
        <v>19</v>
      </c>
      <c r="D355">
        <v>1</v>
      </c>
      <c r="E355" s="1">
        <v>45385</v>
      </c>
      <c r="F355" t="s">
        <v>130</v>
      </c>
      <c r="G355">
        <v>50</v>
      </c>
      <c r="H355">
        <v>25</v>
      </c>
      <c r="I355">
        <v>466</v>
      </c>
      <c r="J355">
        <v>441</v>
      </c>
      <c r="K355">
        <v>1.5</v>
      </c>
      <c r="L355" s="1">
        <v>45413</v>
      </c>
      <c r="M355">
        <f t="shared" si="10"/>
        <v>25</v>
      </c>
      <c r="N355">
        <f t="shared" si="11"/>
        <v>-1.5</v>
      </c>
    </row>
    <row r="356" spans="1:14" x14ac:dyDescent="0.2">
      <c r="A356" t="s">
        <v>34</v>
      </c>
      <c r="B356" s="1">
        <v>45366</v>
      </c>
      <c r="C356" t="s">
        <v>26</v>
      </c>
      <c r="D356">
        <v>3</v>
      </c>
      <c r="E356" s="1">
        <v>45541</v>
      </c>
      <c r="F356" t="s">
        <v>131</v>
      </c>
      <c r="G356">
        <v>0</v>
      </c>
      <c r="H356">
        <v>0</v>
      </c>
      <c r="I356">
        <v>942</v>
      </c>
      <c r="J356">
        <v>15</v>
      </c>
      <c r="K356">
        <v>0</v>
      </c>
      <c r="L356" s="1">
        <v>45563</v>
      </c>
      <c r="M356">
        <f t="shared" si="10"/>
        <v>927</v>
      </c>
      <c r="N356">
        <f t="shared" si="11"/>
        <v>927</v>
      </c>
    </row>
    <row r="357" spans="1:14" x14ac:dyDescent="0.2">
      <c r="A357" t="s">
        <v>15</v>
      </c>
      <c r="B357" s="1">
        <v>45404</v>
      </c>
      <c r="C357" t="s">
        <v>22</v>
      </c>
      <c r="D357">
        <v>3</v>
      </c>
      <c r="E357" s="1">
        <v>45565</v>
      </c>
      <c r="F357" t="s">
        <v>128</v>
      </c>
      <c r="G357">
        <v>500</v>
      </c>
      <c r="H357">
        <v>100</v>
      </c>
      <c r="I357">
        <v>249</v>
      </c>
      <c r="J357">
        <v>176</v>
      </c>
      <c r="K357">
        <v>15</v>
      </c>
      <c r="L357" s="1">
        <v>45584</v>
      </c>
      <c r="M357">
        <f t="shared" si="10"/>
        <v>73</v>
      </c>
      <c r="N357">
        <f t="shared" si="11"/>
        <v>-42</v>
      </c>
    </row>
    <row r="358" spans="1:14" x14ac:dyDescent="0.2">
      <c r="A358" t="s">
        <v>75</v>
      </c>
      <c r="B358" s="1">
        <v>45398</v>
      </c>
      <c r="C358" t="s">
        <v>26</v>
      </c>
      <c r="D358">
        <v>1</v>
      </c>
      <c r="E358" s="1">
        <v>45446</v>
      </c>
      <c r="F358" t="s">
        <v>131</v>
      </c>
      <c r="G358">
        <v>20</v>
      </c>
      <c r="H358">
        <v>10</v>
      </c>
      <c r="I358">
        <v>376</v>
      </c>
      <c r="J358">
        <v>27</v>
      </c>
      <c r="K358">
        <v>0.6</v>
      </c>
      <c r="L358" s="1">
        <v>45461</v>
      </c>
      <c r="M358">
        <f t="shared" si="10"/>
        <v>349</v>
      </c>
      <c r="N358">
        <f t="shared" si="11"/>
        <v>338.4</v>
      </c>
    </row>
    <row r="359" spans="1:14" x14ac:dyDescent="0.2">
      <c r="A359" t="s">
        <v>78</v>
      </c>
      <c r="B359" s="1">
        <v>45426</v>
      </c>
      <c r="C359" t="s">
        <v>19</v>
      </c>
      <c r="D359">
        <v>3</v>
      </c>
      <c r="E359" s="1">
        <v>45506</v>
      </c>
      <c r="F359" t="s">
        <v>130</v>
      </c>
      <c r="G359">
        <v>100</v>
      </c>
      <c r="H359">
        <v>0</v>
      </c>
      <c r="I359">
        <v>222</v>
      </c>
      <c r="J359">
        <v>80</v>
      </c>
      <c r="K359">
        <v>3</v>
      </c>
      <c r="L359" s="1">
        <v>45520</v>
      </c>
      <c r="M359">
        <f t="shared" si="10"/>
        <v>142</v>
      </c>
      <c r="N359">
        <f t="shared" si="11"/>
        <v>139</v>
      </c>
    </row>
    <row r="360" spans="1:14" x14ac:dyDescent="0.2">
      <c r="A360" t="s">
        <v>66</v>
      </c>
      <c r="B360" s="1">
        <v>45442</v>
      </c>
      <c r="C360" t="s">
        <v>16</v>
      </c>
      <c r="D360">
        <v>1</v>
      </c>
      <c r="E360" s="1">
        <v>45450</v>
      </c>
      <c r="F360" t="s">
        <v>130</v>
      </c>
      <c r="G360">
        <v>200</v>
      </c>
      <c r="H360">
        <v>0</v>
      </c>
      <c r="I360">
        <v>571</v>
      </c>
      <c r="J360">
        <v>535</v>
      </c>
      <c r="K360">
        <v>6</v>
      </c>
      <c r="L360" s="1">
        <v>45467</v>
      </c>
      <c r="M360">
        <f t="shared" si="10"/>
        <v>36</v>
      </c>
      <c r="N360">
        <f t="shared" si="11"/>
        <v>30</v>
      </c>
    </row>
    <row r="361" spans="1:14" x14ac:dyDescent="0.2">
      <c r="A361" t="s">
        <v>69</v>
      </c>
      <c r="B361" s="1">
        <v>45370</v>
      </c>
      <c r="C361" t="s">
        <v>26</v>
      </c>
      <c r="D361">
        <v>3</v>
      </c>
      <c r="E361" s="1">
        <v>45382</v>
      </c>
      <c r="F361" t="s">
        <v>129</v>
      </c>
      <c r="G361">
        <v>100</v>
      </c>
      <c r="H361">
        <v>20</v>
      </c>
      <c r="I361">
        <v>369</v>
      </c>
      <c r="J361">
        <v>117</v>
      </c>
      <c r="K361">
        <v>3</v>
      </c>
      <c r="L361" s="1">
        <v>45401</v>
      </c>
      <c r="M361">
        <f t="shared" si="10"/>
        <v>252</v>
      </c>
      <c r="N361">
        <f t="shared" si="11"/>
        <v>229</v>
      </c>
    </row>
    <row r="362" spans="1:14" x14ac:dyDescent="0.2">
      <c r="A362" t="s">
        <v>55</v>
      </c>
      <c r="B362" s="1">
        <v>45391</v>
      </c>
      <c r="C362" t="s">
        <v>22</v>
      </c>
      <c r="D362">
        <v>3</v>
      </c>
      <c r="E362" s="1">
        <v>45473</v>
      </c>
      <c r="F362" t="s">
        <v>129</v>
      </c>
      <c r="G362">
        <v>200</v>
      </c>
      <c r="H362">
        <v>40</v>
      </c>
      <c r="I362">
        <v>506</v>
      </c>
      <c r="J362">
        <v>290</v>
      </c>
      <c r="K362">
        <v>6</v>
      </c>
      <c r="L362" s="1">
        <v>45500</v>
      </c>
      <c r="M362">
        <f t="shared" si="10"/>
        <v>216</v>
      </c>
      <c r="N362">
        <f t="shared" si="11"/>
        <v>170</v>
      </c>
    </row>
    <row r="363" spans="1:14" x14ac:dyDescent="0.2">
      <c r="A363" t="s">
        <v>72</v>
      </c>
      <c r="B363" s="1">
        <v>45299</v>
      </c>
      <c r="C363" t="s">
        <v>13</v>
      </c>
      <c r="D363">
        <v>3</v>
      </c>
      <c r="E363" s="1">
        <v>45314</v>
      </c>
      <c r="F363" t="s">
        <v>131</v>
      </c>
      <c r="G363">
        <v>100</v>
      </c>
      <c r="H363">
        <v>20</v>
      </c>
      <c r="I363">
        <v>415</v>
      </c>
      <c r="J363">
        <v>163</v>
      </c>
      <c r="K363">
        <v>3</v>
      </c>
      <c r="L363" s="1">
        <v>45338</v>
      </c>
      <c r="M363">
        <f t="shared" si="10"/>
        <v>252</v>
      </c>
      <c r="N363">
        <f t="shared" si="11"/>
        <v>229</v>
      </c>
    </row>
    <row r="364" spans="1:14" x14ac:dyDescent="0.2">
      <c r="A364" t="s">
        <v>25</v>
      </c>
      <c r="B364" s="1">
        <v>45333</v>
      </c>
      <c r="C364" t="s">
        <v>16</v>
      </c>
      <c r="D364">
        <v>2</v>
      </c>
      <c r="E364" s="1">
        <v>45441</v>
      </c>
      <c r="F364" t="s">
        <v>131</v>
      </c>
      <c r="G364">
        <v>20</v>
      </c>
      <c r="H364">
        <v>4</v>
      </c>
      <c r="I364">
        <v>709</v>
      </c>
      <c r="J364">
        <v>577</v>
      </c>
      <c r="K364">
        <v>0.6</v>
      </c>
      <c r="L364" s="1">
        <v>45470</v>
      </c>
      <c r="M364">
        <f t="shared" si="10"/>
        <v>132</v>
      </c>
      <c r="N364">
        <f t="shared" si="11"/>
        <v>127.4</v>
      </c>
    </row>
    <row r="365" spans="1:14" x14ac:dyDescent="0.2">
      <c r="A365" t="s">
        <v>58</v>
      </c>
      <c r="B365" s="1">
        <v>45425</v>
      </c>
      <c r="C365" t="s">
        <v>16</v>
      </c>
      <c r="D365">
        <v>2</v>
      </c>
      <c r="E365" s="1">
        <v>45453</v>
      </c>
      <c r="F365" t="s">
        <v>129</v>
      </c>
      <c r="G365">
        <v>500</v>
      </c>
      <c r="H365">
        <v>100</v>
      </c>
      <c r="I365">
        <v>409</v>
      </c>
      <c r="J365">
        <v>58</v>
      </c>
      <c r="K365">
        <v>15</v>
      </c>
      <c r="L365" s="1">
        <v>45474</v>
      </c>
      <c r="M365">
        <f t="shared" si="10"/>
        <v>351</v>
      </c>
      <c r="N365">
        <f t="shared" si="11"/>
        <v>236</v>
      </c>
    </row>
    <row r="366" spans="1:14" x14ac:dyDescent="0.2">
      <c r="A366" t="s">
        <v>105</v>
      </c>
      <c r="B366" s="1">
        <v>45371</v>
      </c>
      <c r="C366" t="s">
        <v>22</v>
      </c>
      <c r="D366">
        <v>1</v>
      </c>
      <c r="E366" s="1">
        <v>45375</v>
      </c>
      <c r="F366" t="s">
        <v>130</v>
      </c>
      <c r="G366">
        <v>100</v>
      </c>
      <c r="H366">
        <v>0</v>
      </c>
      <c r="I366">
        <v>305</v>
      </c>
      <c r="J366">
        <v>281</v>
      </c>
      <c r="K366">
        <v>3</v>
      </c>
      <c r="L366" s="1">
        <v>45397</v>
      </c>
      <c r="M366">
        <f t="shared" si="10"/>
        <v>24</v>
      </c>
      <c r="N366">
        <f t="shared" si="11"/>
        <v>21</v>
      </c>
    </row>
    <row r="367" spans="1:14" x14ac:dyDescent="0.2">
      <c r="A367" t="s">
        <v>54</v>
      </c>
      <c r="B367" s="1">
        <v>45369</v>
      </c>
      <c r="C367" t="s">
        <v>26</v>
      </c>
      <c r="D367">
        <v>3</v>
      </c>
      <c r="E367" s="1">
        <v>45541</v>
      </c>
      <c r="F367" t="s">
        <v>130</v>
      </c>
      <c r="G367">
        <v>20</v>
      </c>
      <c r="H367">
        <v>0</v>
      </c>
      <c r="I367">
        <v>340</v>
      </c>
      <c r="J367">
        <v>35</v>
      </c>
      <c r="K367">
        <v>0.6</v>
      </c>
      <c r="L367" s="1">
        <v>45567</v>
      </c>
      <c r="M367">
        <f t="shared" si="10"/>
        <v>305</v>
      </c>
      <c r="N367">
        <f t="shared" si="11"/>
        <v>304.39999999999998</v>
      </c>
    </row>
    <row r="368" spans="1:14" x14ac:dyDescent="0.2">
      <c r="A368" t="s">
        <v>96</v>
      </c>
      <c r="B368" s="1">
        <v>45377</v>
      </c>
      <c r="C368" t="s">
        <v>13</v>
      </c>
      <c r="D368">
        <v>1</v>
      </c>
      <c r="E368" s="1">
        <v>45542</v>
      </c>
      <c r="F368" t="s">
        <v>130</v>
      </c>
      <c r="G368">
        <v>500</v>
      </c>
      <c r="H368">
        <v>100</v>
      </c>
      <c r="I368">
        <v>531</v>
      </c>
      <c r="J368">
        <v>70</v>
      </c>
      <c r="K368">
        <v>15</v>
      </c>
      <c r="L368" s="1">
        <v>45565</v>
      </c>
      <c r="M368">
        <f t="shared" si="10"/>
        <v>461</v>
      </c>
      <c r="N368">
        <f t="shared" si="11"/>
        <v>346</v>
      </c>
    </row>
    <row r="369" spans="1:14" x14ac:dyDescent="0.2">
      <c r="A369" t="s">
        <v>50</v>
      </c>
      <c r="B369" s="1">
        <v>45374</v>
      </c>
      <c r="C369" t="s">
        <v>26</v>
      </c>
      <c r="D369">
        <v>3</v>
      </c>
      <c r="E369" s="1">
        <v>45425</v>
      </c>
      <c r="F369" t="s">
        <v>128</v>
      </c>
      <c r="G369">
        <v>200</v>
      </c>
      <c r="H369">
        <v>100</v>
      </c>
      <c r="I369">
        <v>249</v>
      </c>
      <c r="J369">
        <v>161</v>
      </c>
      <c r="K369">
        <v>6</v>
      </c>
      <c r="L369" s="1">
        <v>45447</v>
      </c>
      <c r="M369">
        <f t="shared" si="10"/>
        <v>88</v>
      </c>
      <c r="N369">
        <f t="shared" si="11"/>
        <v>-18</v>
      </c>
    </row>
    <row r="370" spans="1:14" x14ac:dyDescent="0.2">
      <c r="A370" t="s">
        <v>111</v>
      </c>
      <c r="B370" s="1">
        <v>45442</v>
      </c>
      <c r="C370" t="s">
        <v>19</v>
      </c>
      <c r="D370">
        <v>3</v>
      </c>
      <c r="E370" s="1">
        <v>45532</v>
      </c>
      <c r="F370" t="s">
        <v>130</v>
      </c>
      <c r="G370">
        <v>100</v>
      </c>
      <c r="H370">
        <v>50</v>
      </c>
      <c r="I370">
        <v>740</v>
      </c>
      <c r="J370">
        <v>732</v>
      </c>
      <c r="K370">
        <v>3</v>
      </c>
      <c r="L370" s="1">
        <v>45554</v>
      </c>
      <c r="M370">
        <f t="shared" si="10"/>
        <v>8</v>
      </c>
      <c r="N370">
        <f t="shared" si="11"/>
        <v>-45</v>
      </c>
    </row>
    <row r="371" spans="1:14" x14ac:dyDescent="0.2">
      <c r="A371" t="s">
        <v>27</v>
      </c>
      <c r="B371" s="1">
        <v>45469</v>
      </c>
      <c r="C371" t="s">
        <v>19</v>
      </c>
      <c r="D371">
        <v>1</v>
      </c>
      <c r="E371" s="1">
        <v>45510</v>
      </c>
      <c r="F371" t="s">
        <v>128</v>
      </c>
      <c r="G371">
        <v>200</v>
      </c>
      <c r="H371">
        <v>0</v>
      </c>
      <c r="I371">
        <v>417</v>
      </c>
      <c r="J371">
        <v>76</v>
      </c>
      <c r="K371">
        <v>6</v>
      </c>
      <c r="L371" s="1">
        <v>45521</v>
      </c>
      <c r="M371">
        <f t="shared" si="10"/>
        <v>341</v>
      </c>
      <c r="N371">
        <f t="shared" si="11"/>
        <v>335</v>
      </c>
    </row>
    <row r="372" spans="1:14" x14ac:dyDescent="0.2">
      <c r="A372" t="s">
        <v>55</v>
      </c>
      <c r="B372" s="1">
        <v>45398</v>
      </c>
      <c r="C372" t="s">
        <v>26</v>
      </c>
      <c r="D372">
        <v>2</v>
      </c>
      <c r="E372" s="1">
        <v>45403</v>
      </c>
      <c r="F372" t="s">
        <v>128</v>
      </c>
      <c r="G372">
        <v>100</v>
      </c>
      <c r="H372">
        <v>0</v>
      </c>
      <c r="I372">
        <v>723</v>
      </c>
      <c r="J372">
        <v>202</v>
      </c>
      <c r="K372">
        <v>3</v>
      </c>
      <c r="L372" s="1">
        <v>45428</v>
      </c>
      <c r="M372">
        <f t="shared" si="10"/>
        <v>521</v>
      </c>
      <c r="N372">
        <f t="shared" si="11"/>
        <v>518</v>
      </c>
    </row>
    <row r="373" spans="1:14" x14ac:dyDescent="0.2">
      <c r="A373" t="s">
        <v>94</v>
      </c>
      <c r="B373" s="1">
        <v>45352</v>
      </c>
      <c r="C373" t="s">
        <v>26</v>
      </c>
      <c r="D373">
        <v>2</v>
      </c>
      <c r="E373" s="1">
        <v>45491</v>
      </c>
      <c r="F373" t="s">
        <v>131</v>
      </c>
      <c r="G373">
        <v>100</v>
      </c>
      <c r="H373">
        <v>0</v>
      </c>
      <c r="I373">
        <v>683</v>
      </c>
      <c r="J373">
        <v>225</v>
      </c>
      <c r="K373">
        <v>3</v>
      </c>
      <c r="L373" s="1">
        <v>45520</v>
      </c>
      <c r="M373">
        <f t="shared" si="10"/>
        <v>458</v>
      </c>
      <c r="N373">
        <f t="shared" si="11"/>
        <v>455</v>
      </c>
    </row>
    <row r="374" spans="1:14" x14ac:dyDescent="0.2">
      <c r="A374" t="s">
        <v>77</v>
      </c>
      <c r="B374" s="1">
        <v>45384</v>
      </c>
      <c r="C374" t="s">
        <v>13</v>
      </c>
      <c r="D374">
        <v>2</v>
      </c>
      <c r="E374" s="1">
        <v>45517</v>
      </c>
      <c r="F374" t="s">
        <v>128</v>
      </c>
      <c r="G374">
        <v>50</v>
      </c>
      <c r="H374">
        <v>0</v>
      </c>
      <c r="I374">
        <v>49</v>
      </c>
      <c r="J374">
        <v>30</v>
      </c>
      <c r="K374">
        <v>1.5</v>
      </c>
      <c r="L374" s="1">
        <v>45525</v>
      </c>
      <c r="M374">
        <f t="shared" si="10"/>
        <v>19</v>
      </c>
      <c r="N374">
        <f t="shared" si="11"/>
        <v>17.5</v>
      </c>
    </row>
    <row r="375" spans="1:14" x14ac:dyDescent="0.2">
      <c r="A375" t="s">
        <v>34</v>
      </c>
      <c r="B375" s="1">
        <v>45452</v>
      </c>
      <c r="C375" t="s">
        <v>19</v>
      </c>
      <c r="D375">
        <v>3</v>
      </c>
      <c r="E375" s="1">
        <v>45562</v>
      </c>
      <c r="F375" t="s">
        <v>130</v>
      </c>
      <c r="G375">
        <v>100</v>
      </c>
      <c r="H375">
        <v>50</v>
      </c>
      <c r="I375">
        <v>249</v>
      </c>
      <c r="J375">
        <v>225</v>
      </c>
      <c r="K375">
        <v>3</v>
      </c>
      <c r="L375" s="1">
        <v>45582</v>
      </c>
      <c r="M375">
        <f t="shared" si="10"/>
        <v>24</v>
      </c>
      <c r="N375">
        <f t="shared" si="11"/>
        <v>-29</v>
      </c>
    </row>
    <row r="376" spans="1:14" x14ac:dyDescent="0.2">
      <c r="A376" t="s">
        <v>32</v>
      </c>
      <c r="B376" s="1">
        <v>45461</v>
      </c>
      <c r="C376" t="s">
        <v>22</v>
      </c>
      <c r="D376">
        <v>2</v>
      </c>
      <c r="E376" s="1">
        <v>45515</v>
      </c>
      <c r="F376" t="s">
        <v>131</v>
      </c>
      <c r="G376">
        <v>500</v>
      </c>
      <c r="H376">
        <v>250</v>
      </c>
      <c r="I376">
        <v>184</v>
      </c>
      <c r="J376">
        <v>16</v>
      </c>
      <c r="K376">
        <v>15</v>
      </c>
      <c r="L376" s="1">
        <v>45530</v>
      </c>
      <c r="M376">
        <f t="shared" si="10"/>
        <v>168</v>
      </c>
      <c r="N376">
        <f t="shared" si="11"/>
        <v>-97</v>
      </c>
    </row>
    <row r="377" spans="1:14" x14ac:dyDescent="0.2">
      <c r="A377" t="s">
        <v>89</v>
      </c>
      <c r="B377" s="1">
        <v>45454</v>
      </c>
      <c r="C377" t="s">
        <v>19</v>
      </c>
      <c r="D377">
        <v>3</v>
      </c>
      <c r="E377" s="1">
        <v>45628</v>
      </c>
      <c r="F377" t="s">
        <v>131</v>
      </c>
      <c r="G377">
        <v>500</v>
      </c>
      <c r="H377">
        <v>0</v>
      </c>
      <c r="I377">
        <v>784</v>
      </c>
      <c r="J377">
        <v>603</v>
      </c>
      <c r="K377">
        <v>15</v>
      </c>
      <c r="L377" s="1">
        <v>45647</v>
      </c>
      <c r="M377">
        <f t="shared" si="10"/>
        <v>181</v>
      </c>
      <c r="N377">
        <f t="shared" si="11"/>
        <v>166</v>
      </c>
    </row>
    <row r="378" spans="1:14" x14ac:dyDescent="0.2">
      <c r="A378" t="s">
        <v>76</v>
      </c>
      <c r="B378" s="1">
        <v>45308</v>
      </c>
      <c r="C378" t="s">
        <v>22</v>
      </c>
      <c r="D378">
        <v>3</v>
      </c>
      <c r="E378" s="1">
        <v>45450</v>
      </c>
      <c r="F378" t="s">
        <v>128</v>
      </c>
      <c r="G378">
        <v>0</v>
      </c>
      <c r="H378">
        <v>0</v>
      </c>
      <c r="I378">
        <v>912</v>
      </c>
      <c r="J378">
        <v>275</v>
      </c>
      <c r="K378">
        <v>0</v>
      </c>
      <c r="L378" s="1">
        <v>45476</v>
      </c>
      <c r="M378">
        <f t="shared" si="10"/>
        <v>637</v>
      </c>
      <c r="N378">
        <f t="shared" si="11"/>
        <v>637</v>
      </c>
    </row>
    <row r="379" spans="1:14" x14ac:dyDescent="0.2">
      <c r="A379" t="s">
        <v>64</v>
      </c>
      <c r="B379" s="1">
        <v>45327</v>
      </c>
      <c r="C379" t="s">
        <v>13</v>
      </c>
      <c r="D379">
        <v>2</v>
      </c>
      <c r="E379" s="1">
        <v>45498</v>
      </c>
      <c r="F379" t="s">
        <v>129</v>
      </c>
      <c r="G379">
        <v>100</v>
      </c>
      <c r="H379">
        <v>0</v>
      </c>
      <c r="I379">
        <v>739</v>
      </c>
      <c r="J379">
        <v>153</v>
      </c>
      <c r="K379">
        <v>3</v>
      </c>
      <c r="L379" s="1">
        <v>45509</v>
      </c>
      <c r="M379">
        <f t="shared" si="10"/>
        <v>586</v>
      </c>
      <c r="N379">
        <f t="shared" si="11"/>
        <v>583</v>
      </c>
    </row>
    <row r="380" spans="1:14" x14ac:dyDescent="0.2">
      <c r="A380" t="s">
        <v>82</v>
      </c>
      <c r="B380" s="1">
        <v>45367</v>
      </c>
      <c r="C380" t="s">
        <v>19</v>
      </c>
      <c r="D380">
        <v>1</v>
      </c>
      <c r="E380" s="1">
        <v>45395</v>
      </c>
      <c r="F380" t="s">
        <v>131</v>
      </c>
      <c r="G380">
        <v>100</v>
      </c>
      <c r="H380">
        <v>0</v>
      </c>
      <c r="I380">
        <v>405</v>
      </c>
      <c r="J380">
        <v>242</v>
      </c>
      <c r="K380">
        <v>3</v>
      </c>
      <c r="L380" s="1">
        <v>45401</v>
      </c>
      <c r="M380">
        <f t="shared" si="10"/>
        <v>163</v>
      </c>
      <c r="N380">
        <f t="shared" si="11"/>
        <v>160</v>
      </c>
    </row>
    <row r="381" spans="1:14" x14ac:dyDescent="0.2">
      <c r="A381" t="s">
        <v>118</v>
      </c>
      <c r="B381" s="1">
        <v>45352</v>
      </c>
      <c r="C381" t="s">
        <v>26</v>
      </c>
      <c r="D381">
        <v>1</v>
      </c>
      <c r="E381" s="1">
        <v>45425</v>
      </c>
      <c r="F381" t="s">
        <v>129</v>
      </c>
      <c r="G381">
        <v>100</v>
      </c>
      <c r="H381">
        <v>20</v>
      </c>
      <c r="I381">
        <v>982</v>
      </c>
      <c r="J381">
        <v>944</v>
      </c>
      <c r="K381">
        <v>3</v>
      </c>
      <c r="L381" s="1">
        <v>45451</v>
      </c>
      <c r="M381">
        <f t="shared" si="10"/>
        <v>38</v>
      </c>
      <c r="N381">
        <f t="shared" si="11"/>
        <v>15</v>
      </c>
    </row>
    <row r="382" spans="1:14" x14ac:dyDescent="0.2">
      <c r="A382" t="s">
        <v>104</v>
      </c>
      <c r="B382" s="1">
        <v>45395</v>
      </c>
      <c r="C382" t="s">
        <v>16</v>
      </c>
      <c r="D382">
        <v>1</v>
      </c>
      <c r="E382" s="1">
        <v>45517</v>
      </c>
      <c r="F382" t="s">
        <v>130</v>
      </c>
      <c r="G382">
        <v>200</v>
      </c>
      <c r="H382">
        <v>100</v>
      </c>
      <c r="I382">
        <v>866</v>
      </c>
      <c r="J382">
        <v>620</v>
      </c>
      <c r="K382">
        <v>6</v>
      </c>
      <c r="L382" s="1">
        <v>45530</v>
      </c>
      <c r="M382">
        <f t="shared" si="10"/>
        <v>246</v>
      </c>
      <c r="N382">
        <f t="shared" si="11"/>
        <v>140</v>
      </c>
    </row>
    <row r="383" spans="1:14" x14ac:dyDescent="0.2">
      <c r="A383" t="s">
        <v>74</v>
      </c>
      <c r="B383" s="1">
        <v>45373</v>
      </c>
      <c r="C383" t="s">
        <v>19</v>
      </c>
      <c r="D383">
        <v>1</v>
      </c>
      <c r="E383" s="1">
        <v>45397</v>
      </c>
      <c r="F383" t="s">
        <v>129</v>
      </c>
      <c r="G383">
        <v>0</v>
      </c>
      <c r="H383">
        <v>0</v>
      </c>
      <c r="I383">
        <v>651</v>
      </c>
      <c r="J383">
        <v>252</v>
      </c>
      <c r="K383">
        <v>0</v>
      </c>
      <c r="L383" s="1">
        <v>45406</v>
      </c>
      <c r="M383">
        <f t="shared" si="10"/>
        <v>399</v>
      </c>
      <c r="N383">
        <f t="shared" si="11"/>
        <v>399</v>
      </c>
    </row>
    <row r="384" spans="1:14" x14ac:dyDescent="0.2">
      <c r="A384" t="s">
        <v>77</v>
      </c>
      <c r="B384" s="1">
        <v>45423</v>
      </c>
      <c r="C384" t="s">
        <v>22</v>
      </c>
      <c r="D384">
        <v>2</v>
      </c>
      <c r="E384" s="1">
        <v>45573</v>
      </c>
      <c r="F384" t="s">
        <v>129</v>
      </c>
      <c r="G384">
        <v>500</v>
      </c>
      <c r="H384">
        <v>250</v>
      </c>
      <c r="I384">
        <v>893</v>
      </c>
      <c r="J384">
        <v>617</v>
      </c>
      <c r="K384">
        <v>15</v>
      </c>
      <c r="L384" s="1">
        <v>45588</v>
      </c>
      <c r="M384">
        <f t="shared" si="10"/>
        <v>276</v>
      </c>
      <c r="N384">
        <f t="shared" si="11"/>
        <v>11</v>
      </c>
    </row>
    <row r="385" spans="1:14" x14ac:dyDescent="0.2">
      <c r="A385" t="s">
        <v>60</v>
      </c>
      <c r="B385" s="1">
        <v>45309</v>
      </c>
      <c r="C385" t="s">
        <v>19</v>
      </c>
      <c r="D385">
        <v>2</v>
      </c>
      <c r="E385" s="1">
        <v>45358</v>
      </c>
      <c r="F385" t="s">
        <v>130</v>
      </c>
      <c r="G385">
        <v>20</v>
      </c>
      <c r="H385">
        <v>4</v>
      </c>
      <c r="I385">
        <v>201</v>
      </c>
      <c r="J385">
        <v>193</v>
      </c>
      <c r="K385">
        <v>0.6</v>
      </c>
      <c r="L385" s="1">
        <v>45376</v>
      </c>
      <c r="M385">
        <f t="shared" si="10"/>
        <v>8</v>
      </c>
      <c r="N385">
        <f t="shared" si="11"/>
        <v>3.4</v>
      </c>
    </row>
    <row r="386" spans="1:14" x14ac:dyDescent="0.2">
      <c r="A386" t="s">
        <v>73</v>
      </c>
      <c r="B386" s="1">
        <v>45411</v>
      </c>
      <c r="C386" t="s">
        <v>22</v>
      </c>
      <c r="D386">
        <v>3</v>
      </c>
      <c r="E386" s="1">
        <v>45501</v>
      </c>
      <c r="F386" t="s">
        <v>128</v>
      </c>
      <c r="G386">
        <v>50</v>
      </c>
      <c r="H386">
        <v>10</v>
      </c>
      <c r="I386">
        <v>233</v>
      </c>
      <c r="J386">
        <v>53</v>
      </c>
      <c r="K386">
        <v>1.5</v>
      </c>
      <c r="L386" s="1">
        <v>45519</v>
      </c>
      <c r="M386">
        <f t="shared" si="10"/>
        <v>180</v>
      </c>
      <c r="N386">
        <f t="shared" si="11"/>
        <v>168.5</v>
      </c>
    </row>
    <row r="387" spans="1:14" x14ac:dyDescent="0.2">
      <c r="A387" t="s">
        <v>116</v>
      </c>
      <c r="B387" s="1">
        <v>45444</v>
      </c>
      <c r="C387" t="s">
        <v>13</v>
      </c>
      <c r="D387">
        <v>3</v>
      </c>
      <c r="E387" s="1">
        <v>45570</v>
      </c>
      <c r="F387" t="s">
        <v>131</v>
      </c>
      <c r="G387">
        <v>20</v>
      </c>
      <c r="H387">
        <v>10</v>
      </c>
      <c r="I387">
        <v>355</v>
      </c>
      <c r="J387">
        <v>257</v>
      </c>
      <c r="K387">
        <v>0.6</v>
      </c>
      <c r="L387" s="1">
        <v>45570</v>
      </c>
      <c r="M387">
        <f t="shared" ref="M387:M450" si="12">I387-J387</f>
        <v>98</v>
      </c>
      <c r="N387">
        <f t="shared" ref="N387:N450" si="13">M387-H387-K387</f>
        <v>87.4</v>
      </c>
    </row>
    <row r="388" spans="1:14" x14ac:dyDescent="0.2">
      <c r="A388" t="s">
        <v>83</v>
      </c>
      <c r="B388" s="1">
        <v>45410</v>
      </c>
      <c r="C388" t="s">
        <v>26</v>
      </c>
      <c r="D388">
        <v>2</v>
      </c>
      <c r="E388" s="1">
        <v>45490</v>
      </c>
      <c r="F388" t="s">
        <v>128</v>
      </c>
      <c r="G388">
        <v>100</v>
      </c>
      <c r="H388">
        <v>50</v>
      </c>
      <c r="I388">
        <v>595</v>
      </c>
      <c r="J388">
        <v>544</v>
      </c>
      <c r="K388">
        <v>3</v>
      </c>
      <c r="L388" s="1">
        <v>45492</v>
      </c>
      <c r="M388">
        <f t="shared" si="12"/>
        <v>51</v>
      </c>
      <c r="N388">
        <f t="shared" si="13"/>
        <v>-2</v>
      </c>
    </row>
    <row r="389" spans="1:14" x14ac:dyDescent="0.2">
      <c r="A389" t="s">
        <v>83</v>
      </c>
      <c r="B389" s="1">
        <v>45374</v>
      </c>
      <c r="C389" t="s">
        <v>16</v>
      </c>
      <c r="D389">
        <v>2</v>
      </c>
      <c r="E389" s="1">
        <v>45474</v>
      </c>
      <c r="F389" t="s">
        <v>130</v>
      </c>
      <c r="G389">
        <v>100</v>
      </c>
      <c r="H389">
        <v>20</v>
      </c>
      <c r="I389">
        <v>859</v>
      </c>
      <c r="J389">
        <v>465</v>
      </c>
      <c r="K389">
        <v>3</v>
      </c>
      <c r="L389" s="1">
        <v>45504</v>
      </c>
      <c r="M389">
        <f t="shared" si="12"/>
        <v>394</v>
      </c>
      <c r="N389">
        <f t="shared" si="13"/>
        <v>371</v>
      </c>
    </row>
    <row r="390" spans="1:14" x14ac:dyDescent="0.2">
      <c r="A390" t="s">
        <v>85</v>
      </c>
      <c r="B390" s="1">
        <v>45346</v>
      </c>
      <c r="C390" t="s">
        <v>13</v>
      </c>
      <c r="D390">
        <v>3</v>
      </c>
      <c r="E390" s="1">
        <v>45382</v>
      </c>
      <c r="F390" t="s">
        <v>129</v>
      </c>
      <c r="G390">
        <v>0</v>
      </c>
      <c r="H390">
        <v>0</v>
      </c>
      <c r="I390">
        <v>293</v>
      </c>
      <c r="J390">
        <v>228</v>
      </c>
      <c r="K390">
        <v>0</v>
      </c>
      <c r="L390" s="1">
        <v>45388</v>
      </c>
      <c r="M390">
        <f t="shared" si="12"/>
        <v>65</v>
      </c>
      <c r="N390">
        <f t="shared" si="13"/>
        <v>65</v>
      </c>
    </row>
    <row r="391" spans="1:14" x14ac:dyDescent="0.2">
      <c r="A391" t="s">
        <v>120</v>
      </c>
      <c r="B391" s="1">
        <v>45465</v>
      </c>
      <c r="C391" t="s">
        <v>26</v>
      </c>
      <c r="D391">
        <v>3</v>
      </c>
      <c r="E391" s="1">
        <v>45616</v>
      </c>
      <c r="F391" t="s">
        <v>128</v>
      </c>
      <c r="G391">
        <v>20</v>
      </c>
      <c r="H391">
        <v>0</v>
      </c>
      <c r="I391">
        <v>105</v>
      </c>
      <c r="J391">
        <v>12</v>
      </c>
      <c r="K391">
        <v>0.6</v>
      </c>
      <c r="L391" s="1">
        <v>45646</v>
      </c>
      <c r="M391">
        <f t="shared" si="12"/>
        <v>93</v>
      </c>
      <c r="N391">
        <f t="shared" si="13"/>
        <v>92.4</v>
      </c>
    </row>
    <row r="392" spans="1:14" x14ac:dyDescent="0.2">
      <c r="A392" t="s">
        <v>33</v>
      </c>
      <c r="B392" s="1">
        <v>45384</v>
      </c>
      <c r="C392" t="s">
        <v>22</v>
      </c>
      <c r="D392">
        <v>1</v>
      </c>
      <c r="E392" s="1">
        <v>45398</v>
      </c>
      <c r="F392" t="s">
        <v>128</v>
      </c>
      <c r="G392">
        <v>20</v>
      </c>
      <c r="H392">
        <v>10</v>
      </c>
      <c r="I392">
        <v>312</v>
      </c>
      <c r="J392">
        <v>148</v>
      </c>
      <c r="K392">
        <v>0.6</v>
      </c>
      <c r="L392" s="1">
        <v>45420</v>
      </c>
      <c r="M392">
        <f t="shared" si="12"/>
        <v>164</v>
      </c>
      <c r="N392">
        <f t="shared" si="13"/>
        <v>153.4</v>
      </c>
    </row>
    <row r="393" spans="1:14" x14ac:dyDescent="0.2">
      <c r="A393" t="s">
        <v>49</v>
      </c>
      <c r="B393" s="1">
        <v>45456</v>
      </c>
      <c r="C393" t="s">
        <v>19</v>
      </c>
      <c r="D393">
        <v>2</v>
      </c>
      <c r="E393" s="1">
        <v>45510</v>
      </c>
      <c r="F393" t="s">
        <v>128</v>
      </c>
      <c r="G393">
        <v>100</v>
      </c>
      <c r="H393">
        <v>20</v>
      </c>
      <c r="I393">
        <v>802</v>
      </c>
      <c r="J393">
        <v>268</v>
      </c>
      <c r="K393">
        <v>3</v>
      </c>
      <c r="L393" s="1">
        <v>45516</v>
      </c>
      <c r="M393">
        <f t="shared" si="12"/>
        <v>534</v>
      </c>
      <c r="N393">
        <f t="shared" si="13"/>
        <v>511</v>
      </c>
    </row>
    <row r="394" spans="1:14" x14ac:dyDescent="0.2">
      <c r="A394" t="s">
        <v>118</v>
      </c>
      <c r="B394" s="1">
        <v>45345</v>
      </c>
      <c r="C394" t="s">
        <v>13</v>
      </c>
      <c r="D394">
        <v>1</v>
      </c>
      <c r="E394" s="1">
        <v>45464</v>
      </c>
      <c r="F394" t="s">
        <v>131</v>
      </c>
      <c r="G394">
        <v>500</v>
      </c>
      <c r="H394">
        <v>0</v>
      </c>
      <c r="I394">
        <v>923</v>
      </c>
      <c r="J394">
        <v>558</v>
      </c>
      <c r="K394">
        <v>15</v>
      </c>
      <c r="L394" s="1">
        <v>45467</v>
      </c>
      <c r="M394">
        <f t="shared" si="12"/>
        <v>365</v>
      </c>
      <c r="N394">
        <f t="shared" si="13"/>
        <v>350</v>
      </c>
    </row>
    <row r="395" spans="1:14" x14ac:dyDescent="0.2">
      <c r="A395" t="s">
        <v>25</v>
      </c>
      <c r="B395" s="1">
        <v>45441</v>
      </c>
      <c r="C395" t="s">
        <v>13</v>
      </c>
      <c r="D395">
        <v>1</v>
      </c>
      <c r="E395" s="1">
        <v>45569</v>
      </c>
      <c r="F395" t="s">
        <v>128</v>
      </c>
      <c r="G395">
        <v>0</v>
      </c>
      <c r="H395">
        <v>0</v>
      </c>
      <c r="I395">
        <v>428</v>
      </c>
      <c r="J395">
        <v>223</v>
      </c>
      <c r="K395">
        <v>0</v>
      </c>
      <c r="L395" s="1">
        <v>45587</v>
      </c>
      <c r="M395">
        <f t="shared" si="12"/>
        <v>205</v>
      </c>
      <c r="N395">
        <f t="shared" si="13"/>
        <v>205</v>
      </c>
    </row>
    <row r="396" spans="1:14" x14ac:dyDescent="0.2">
      <c r="A396" t="s">
        <v>58</v>
      </c>
      <c r="B396" s="1">
        <v>45406</v>
      </c>
      <c r="C396" t="s">
        <v>13</v>
      </c>
      <c r="D396">
        <v>1</v>
      </c>
      <c r="E396" s="1">
        <v>45523</v>
      </c>
      <c r="F396" t="s">
        <v>130</v>
      </c>
      <c r="G396">
        <v>100</v>
      </c>
      <c r="H396">
        <v>50</v>
      </c>
      <c r="I396">
        <v>200</v>
      </c>
      <c r="J396">
        <v>192</v>
      </c>
      <c r="K396">
        <v>3</v>
      </c>
      <c r="L396" s="1">
        <v>45527</v>
      </c>
      <c r="M396">
        <f t="shared" si="12"/>
        <v>8</v>
      </c>
      <c r="N396">
        <f t="shared" si="13"/>
        <v>-45</v>
      </c>
    </row>
    <row r="397" spans="1:14" x14ac:dyDescent="0.2">
      <c r="A397" t="s">
        <v>97</v>
      </c>
      <c r="B397" s="1">
        <v>45402</v>
      </c>
      <c r="C397" t="s">
        <v>19</v>
      </c>
      <c r="D397">
        <v>2</v>
      </c>
      <c r="E397" s="1">
        <v>45515</v>
      </c>
      <c r="F397" t="s">
        <v>129</v>
      </c>
      <c r="G397">
        <v>20</v>
      </c>
      <c r="H397">
        <v>4</v>
      </c>
      <c r="I397">
        <v>475</v>
      </c>
      <c r="J397">
        <v>277</v>
      </c>
      <c r="K397">
        <v>0.6</v>
      </c>
      <c r="L397" s="1">
        <v>45527</v>
      </c>
      <c r="M397">
        <f t="shared" si="12"/>
        <v>198</v>
      </c>
      <c r="N397">
        <f t="shared" si="13"/>
        <v>193.4</v>
      </c>
    </row>
    <row r="398" spans="1:14" x14ac:dyDescent="0.2">
      <c r="A398" t="s">
        <v>30</v>
      </c>
      <c r="B398" s="1">
        <v>45296</v>
      </c>
      <c r="C398" t="s">
        <v>13</v>
      </c>
      <c r="D398">
        <v>1</v>
      </c>
      <c r="E398" s="1">
        <v>45302</v>
      </c>
      <c r="F398" t="s">
        <v>128</v>
      </c>
      <c r="G398">
        <v>100</v>
      </c>
      <c r="H398">
        <v>0</v>
      </c>
      <c r="I398">
        <v>308</v>
      </c>
      <c r="J398">
        <v>47</v>
      </c>
      <c r="K398">
        <v>3</v>
      </c>
      <c r="L398" s="1">
        <v>45319</v>
      </c>
      <c r="M398">
        <f t="shared" si="12"/>
        <v>261</v>
      </c>
      <c r="N398">
        <f t="shared" si="13"/>
        <v>258</v>
      </c>
    </row>
    <row r="399" spans="1:14" x14ac:dyDescent="0.2">
      <c r="A399" t="s">
        <v>114</v>
      </c>
      <c r="B399" s="1">
        <v>45330</v>
      </c>
      <c r="C399" t="s">
        <v>22</v>
      </c>
      <c r="D399">
        <v>1</v>
      </c>
      <c r="E399" s="1">
        <v>45485</v>
      </c>
      <c r="F399" t="s">
        <v>129</v>
      </c>
      <c r="G399">
        <v>500</v>
      </c>
      <c r="H399">
        <v>250</v>
      </c>
      <c r="I399">
        <v>611</v>
      </c>
      <c r="J399">
        <v>159</v>
      </c>
      <c r="K399">
        <v>15</v>
      </c>
      <c r="L399" s="1">
        <v>45487</v>
      </c>
      <c r="M399">
        <f t="shared" si="12"/>
        <v>452</v>
      </c>
      <c r="N399">
        <f t="shared" si="13"/>
        <v>187</v>
      </c>
    </row>
    <row r="400" spans="1:14" x14ac:dyDescent="0.2">
      <c r="A400" t="s">
        <v>72</v>
      </c>
      <c r="B400" s="1">
        <v>45302</v>
      </c>
      <c r="C400" t="s">
        <v>26</v>
      </c>
      <c r="D400">
        <v>2</v>
      </c>
      <c r="E400" s="1">
        <v>45326</v>
      </c>
      <c r="F400" t="s">
        <v>128</v>
      </c>
      <c r="G400">
        <v>50</v>
      </c>
      <c r="H400">
        <v>10</v>
      </c>
      <c r="I400">
        <v>395</v>
      </c>
      <c r="J400">
        <v>160</v>
      </c>
      <c r="K400">
        <v>1.5</v>
      </c>
      <c r="L400" s="1">
        <v>45333</v>
      </c>
      <c r="M400">
        <f t="shared" si="12"/>
        <v>235</v>
      </c>
      <c r="N400">
        <f t="shared" si="13"/>
        <v>223.5</v>
      </c>
    </row>
    <row r="401" spans="1:14" x14ac:dyDescent="0.2">
      <c r="A401" t="s">
        <v>15</v>
      </c>
      <c r="B401" s="1">
        <v>45339</v>
      </c>
      <c r="C401" t="s">
        <v>19</v>
      </c>
      <c r="D401">
        <v>3</v>
      </c>
      <c r="E401" s="1">
        <v>45497</v>
      </c>
      <c r="F401" t="s">
        <v>128</v>
      </c>
      <c r="G401">
        <v>500</v>
      </c>
      <c r="H401">
        <v>100</v>
      </c>
      <c r="I401">
        <v>623</v>
      </c>
      <c r="J401">
        <v>366</v>
      </c>
      <c r="K401">
        <v>15</v>
      </c>
      <c r="L401" s="1">
        <v>45521</v>
      </c>
      <c r="M401">
        <f t="shared" si="12"/>
        <v>257</v>
      </c>
      <c r="N401">
        <f t="shared" si="13"/>
        <v>142</v>
      </c>
    </row>
    <row r="402" spans="1:14" x14ac:dyDescent="0.2">
      <c r="A402" t="s">
        <v>104</v>
      </c>
      <c r="B402" s="1">
        <v>45412</v>
      </c>
      <c r="C402" t="s">
        <v>26</v>
      </c>
      <c r="D402">
        <v>3</v>
      </c>
      <c r="E402" s="1">
        <v>45480</v>
      </c>
      <c r="F402" t="s">
        <v>128</v>
      </c>
      <c r="G402">
        <v>500</v>
      </c>
      <c r="H402">
        <v>0</v>
      </c>
      <c r="I402">
        <v>464</v>
      </c>
      <c r="J402">
        <v>107</v>
      </c>
      <c r="K402">
        <v>15</v>
      </c>
      <c r="L402" s="1">
        <v>45493</v>
      </c>
      <c r="M402">
        <f t="shared" si="12"/>
        <v>357</v>
      </c>
      <c r="N402">
        <f t="shared" si="13"/>
        <v>342</v>
      </c>
    </row>
    <row r="403" spans="1:14" x14ac:dyDescent="0.2">
      <c r="A403" t="s">
        <v>32</v>
      </c>
      <c r="B403" s="1">
        <v>45401</v>
      </c>
      <c r="C403" t="s">
        <v>26</v>
      </c>
      <c r="D403">
        <v>2</v>
      </c>
      <c r="E403" s="1">
        <v>45535</v>
      </c>
      <c r="F403" t="s">
        <v>130</v>
      </c>
      <c r="G403">
        <v>50</v>
      </c>
      <c r="H403">
        <v>25</v>
      </c>
      <c r="I403">
        <v>850</v>
      </c>
      <c r="J403">
        <v>240</v>
      </c>
      <c r="K403">
        <v>1.5</v>
      </c>
      <c r="L403" s="1">
        <v>45561</v>
      </c>
      <c r="M403">
        <f t="shared" si="12"/>
        <v>610</v>
      </c>
      <c r="N403">
        <f t="shared" si="13"/>
        <v>583.5</v>
      </c>
    </row>
    <row r="404" spans="1:14" x14ac:dyDescent="0.2">
      <c r="A404" t="s">
        <v>99</v>
      </c>
      <c r="B404" s="1">
        <v>45296</v>
      </c>
      <c r="C404" t="s">
        <v>22</v>
      </c>
      <c r="D404">
        <v>1</v>
      </c>
      <c r="E404" s="1">
        <v>45330</v>
      </c>
      <c r="F404" t="s">
        <v>129</v>
      </c>
      <c r="G404">
        <v>500</v>
      </c>
      <c r="H404">
        <v>100</v>
      </c>
      <c r="I404">
        <v>762</v>
      </c>
      <c r="J404">
        <v>616</v>
      </c>
      <c r="K404">
        <v>15</v>
      </c>
      <c r="L404" s="1">
        <v>45355</v>
      </c>
      <c r="M404">
        <f t="shared" si="12"/>
        <v>146</v>
      </c>
      <c r="N404">
        <f t="shared" si="13"/>
        <v>31</v>
      </c>
    </row>
    <row r="405" spans="1:14" x14ac:dyDescent="0.2">
      <c r="A405" t="s">
        <v>111</v>
      </c>
      <c r="B405" s="1">
        <v>45292</v>
      </c>
      <c r="C405" t="s">
        <v>26</v>
      </c>
      <c r="D405">
        <v>1</v>
      </c>
      <c r="E405" s="1">
        <v>45394</v>
      </c>
      <c r="F405" t="s">
        <v>130</v>
      </c>
      <c r="G405">
        <v>200</v>
      </c>
      <c r="H405">
        <v>0</v>
      </c>
      <c r="I405">
        <v>779</v>
      </c>
      <c r="J405">
        <v>701</v>
      </c>
      <c r="K405">
        <v>6</v>
      </c>
      <c r="L405" s="1">
        <v>45410</v>
      </c>
      <c r="M405">
        <f t="shared" si="12"/>
        <v>78</v>
      </c>
      <c r="N405">
        <f t="shared" si="13"/>
        <v>72</v>
      </c>
    </row>
    <row r="406" spans="1:14" x14ac:dyDescent="0.2">
      <c r="A406" t="s">
        <v>64</v>
      </c>
      <c r="B406" s="1">
        <v>45314</v>
      </c>
      <c r="C406" t="s">
        <v>22</v>
      </c>
      <c r="D406">
        <v>2</v>
      </c>
      <c r="E406" s="1">
        <v>45488</v>
      </c>
      <c r="F406" t="s">
        <v>128</v>
      </c>
      <c r="G406">
        <v>500</v>
      </c>
      <c r="H406">
        <v>0</v>
      </c>
      <c r="I406">
        <v>392</v>
      </c>
      <c r="J406">
        <v>232</v>
      </c>
      <c r="K406">
        <v>15</v>
      </c>
      <c r="L406" s="1">
        <v>45518</v>
      </c>
      <c r="M406">
        <f t="shared" si="12"/>
        <v>160</v>
      </c>
      <c r="N406">
        <f t="shared" si="13"/>
        <v>145</v>
      </c>
    </row>
    <row r="407" spans="1:14" x14ac:dyDescent="0.2">
      <c r="A407" t="s">
        <v>97</v>
      </c>
      <c r="B407" s="1">
        <v>45446</v>
      </c>
      <c r="C407" t="s">
        <v>26</v>
      </c>
      <c r="D407">
        <v>2</v>
      </c>
      <c r="E407" s="1">
        <v>45566</v>
      </c>
      <c r="F407" t="s">
        <v>128</v>
      </c>
      <c r="G407">
        <v>50</v>
      </c>
      <c r="H407">
        <v>0</v>
      </c>
      <c r="I407">
        <v>120</v>
      </c>
      <c r="J407">
        <v>40</v>
      </c>
      <c r="K407">
        <v>1.5</v>
      </c>
      <c r="L407" s="1">
        <v>45568</v>
      </c>
      <c r="M407">
        <f t="shared" si="12"/>
        <v>80</v>
      </c>
      <c r="N407">
        <f t="shared" si="13"/>
        <v>78.5</v>
      </c>
    </row>
    <row r="408" spans="1:14" x14ac:dyDescent="0.2">
      <c r="A408" t="s">
        <v>64</v>
      </c>
      <c r="B408" s="1">
        <v>45361</v>
      </c>
      <c r="C408" t="s">
        <v>22</v>
      </c>
      <c r="D408">
        <v>1</v>
      </c>
      <c r="E408" s="1">
        <v>45463</v>
      </c>
      <c r="F408" t="s">
        <v>131</v>
      </c>
      <c r="G408">
        <v>0</v>
      </c>
      <c r="H408">
        <v>0</v>
      </c>
      <c r="I408">
        <v>889</v>
      </c>
      <c r="J408">
        <v>505</v>
      </c>
      <c r="K408">
        <v>0</v>
      </c>
      <c r="L408" s="1">
        <v>45467</v>
      </c>
      <c r="M408">
        <f t="shared" si="12"/>
        <v>384</v>
      </c>
      <c r="N408">
        <f t="shared" si="13"/>
        <v>384</v>
      </c>
    </row>
    <row r="409" spans="1:14" x14ac:dyDescent="0.2">
      <c r="A409" t="s">
        <v>42</v>
      </c>
      <c r="B409" s="1">
        <v>45463</v>
      </c>
      <c r="C409" t="s">
        <v>26</v>
      </c>
      <c r="D409">
        <v>1</v>
      </c>
      <c r="E409" s="1">
        <v>45491</v>
      </c>
      <c r="F409" t="s">
        <v>131</v>
      </c>
      <c r="G409">
        <v>200</v>
      </c>
      <c r="H409">
        <v>100</v>
      </c>
      <c r="I409">
        <v>136</v>
      </c>
      <c r="J409">
        <v>51</v>
      </c>
      <c r="K409">
        <v>6</v>
      </c>
      <c r="L409" s="1">
        <v>45520</v>
      </c>
      <c r="M409">
        <f t="shared" si="12"/>
        <v>85</v>
      </c>
      <c r="N409">
        <f t="shared" si="13"/>
        <v>-21</v>
      </c>
    </row>
    <row r="410" spans="1:14" x14ac:dyDescent="0.2">
      <c r="A410" t="s">
        <v>36</v>
      </c>
      <c r="B410" s="1">
        <v>45352</v>
      </c>
      <c r="C410" t="s">
        <v>13</v>
      </c>
      <c r="D410">
        <v>3</v>
      </c>
      <c r="E410" s="1">
        <v>45358</v>
      </c>
      <c r="F410" t="s">
        <v>129</v>
      </c>
      <c r="G410">
        <v>20</v>
      </c>
      <c r="H410">
        <v>10</v>
      </c>
      <c r="I410">
        <v>287</v>
      </c>
      <c r="J410">
        <v>228</v>
      </c>
      <c r="K410">
        <v>0.6</v>
      </c>
      <c r="L410" s="1">
        <v>45383</v>
      </c>
      <c r="M410">
        <f t="shared" si="12"/>
        <v>59</v>
      </c>
      <c r="N410">
        <f t="shared" si="13"/>
        <v>48.4</v>
      </c>
    </row>
    <row r="411" spans="1:14" x14ac:dyDescent="0.2">
      <c r="A411" t="s">
        <v>94</v>
      </c>
      <c r="B411" s="1">
        <v>45414</v>
      </c>
      <c r="C411" t="s">
        <v>26</v>
      </c>
      <c r="D411">
        <v>2</v>
      </c>
      <c r="E411" s="1">
        <v>45430</v>
      </c>
      <c r="F411" t="s">
        <v>129</v>
      </c>
      <c r="G411">
        <v>50</v>
      </c>
      <c r="H411">
        <v>25</v>
      </c>
      <c r="I411">
        <v>822</v>
      </c>
      <c r="J411">
        <v>360</v>
      </c>
      <c r="K411">
        <v>1.5</v>
      </c>
      <c r="L411" s="1">
        <v>45438</v>
      </c>
      <c r="M411">
        <f t="shared" si="12"/>
        <v>462</v>
      </c>
      <c r="N411">
        <f t="shared" si="13"/>
        <v>435.5</v>
      </c>
    </row>
    <row r="412" spans="1:14" x14ac:dyDescent="0.2">
      <c r="A412" t="s">
        <v>72</v>
      </c>
      <c r="B412" s="1">
        <v>45319</v>
      </c>
      <c r="C412" t="s">
        <v>16</v>
      </c>
      <c r="D412">
        <v>2</v>
      </c>
      <c r="E412" s="1">
        <v>45447</v>
      </c>
      <c r="F412" t="s">
        <v>129</v>
      </c>
      <c r="G412">
        <v>20</v>
      </c>
      <c r="H412">
        <v>4</v>
      </c>
      <c r="I412">
        <v>414</v>
      </c>
      <c r="J412">
        <v>317</v>
      </c>
      <c r="K412">
        <v>0.6</v>
      </c>
      <c r="L412" s="1">
        <v>45452</v>
      </c>
      <c r="M412">
        <f t="shared" si="12"/>
        <v>97</v>
      </c>
      <c r="N412">
        <f t="shared" si="13"/>
        <v>92.4</v>
      </c>
    </row>
    <row r="413" spans="1:14" x14ac:dyDescent="0.2">
      <c r="A413" t="s">
        <v>80</v>
      </c>
      <c r="B413" s="1">
        <v>45362</v>
      </c>
      <c r="C413" t="s">
        <v>19</v>
      </c>
      <c r="D413">
        <v>1</v>
      </c>
      <c r="E413" s="1">
        <v>45388</v>
      </c>
      <c r="F413" t="s">
        <v>130</v>
      </c>
      <c r="G413">
        <v>20</v>
      </c>
      <c r="H413">
        <v>10</v>
      </c>
      <c r="I413">
        <v>14</v>
      </c>
      <c r="J413">
        <v>6</v>
      </c>
      <c r="K413">
        <v>0.6</v>
      </c>
      <c r="L413" s="1">
        <v>45403</v>
      </c>
      <c r="M413">
        <f t="shared" si="12"/>
        <v>8</v>
      </c>
      <c r="N413">
        <f t="shared" si="13"/>
        <v>-2.6</v>
      </c>
    </row>
    <row r="414" spans="1:14" x14ac:dyDescent="0.2">
      <c r="A414" t="s">
        <v>86</v>
      </c>
      <c r="B414" s="1">
        <v>45356</v>
      </c>
      <c r="C414" t="s">
        <v>26</v>
      </c>
      <c r="D414">
        <v>1</v>
      </c>
      <c r="E414" s="1">
        <v>45489</v>
      </c>
      <c r="F414" t="s">
        <v>128</v>
      </c>
      <c r="G414">
        <v>100</v>
      </c>
      <c r="H414">
        <v>0</v>
      </c>
      <c r="I414">
        <v>433</v>
      </c>
      <c r="J414">
        <v>164</v>
      </c>
      <c r="K414">
        <v>3</v>
      </c>
      <c r="L414" s="1">
        <v>45502</v>
      </c>
      <c r="M414">
        <f t="shared" si="12"/>
        <v>269</v>
      </c>
      <c r="N414">
        <f t="shared" si="13"/>
        <v>266</v>
      </c>
    </row>
    <row r="415" spans="1:14" x14ac:dyDescent="0.2">
      <c r="A415" t="s">
        <v>58</v>
      </c>
      <c r="B415" s="1">
        <v>45404</v>
      </c>
      <c r="C415" t="s">
        <v>13</v>
      </c>
      <c r="D415">
        <v>1</v>
      </c>
      <c r="E415" s="1">
        <v>45520</v>
      </c>
      <c r="F415" t="s">
        <v>130</v>
      </c>
      <c r="G415">
        <v>100</v>
      </c>
      <c r="H415">
        <v>0</v>
      </c>
      <c r="I415">
        <v>90</v>
      </c>
      <c r="J415">
        <v>31</v>
      </c>
      <c r="K415">
        <v>3</v>
      </c>
      <c r="L415" s="1">
        <v>45540</v>
      </c>
      <c r="M415">
        <f t="shared" si="12"/>
        <v>59</v>
      </c>
      <c r="N415">
        <f t="shared" si="13"/>
        <v>56</v>
      </c>
    </row>
    <row r="416" spans="1:14" x14ac:dyDescent="0.2">
      <c r="A416" t="s">
        <v>18</v>
      </c>
      <c r="B416" s="1">
        <v>45344</v>
      </c>
      <c r="C416" t="s">
        <v>19</v>
      </c>
      <c r="D416">
        <v>2</v>
      </c>
      <c r="E416" s="1">
        <v>45520</v>
      </c>
      <c r="F416" t="s">
        <v>129</v>
      </c>
      <c r="G416">
        <v>50</v>
      </c>
      <c r="H416">
        <v>25</v>
      </c>
      <c r="I416">
        <v>1000</v>
      </c>
      <c r="J416">
        <v>320</v>
      </c>
      <c r="K416">
        <v>1.5</v>
      </c>
      <c r="L416" s="1">
        <v>45530</v>
      </c>
      <c r="M416">
        <f t="shared" si="12"/>
        <v>680</v>
      </c>
      <c r="N416">
        <f t="shared" si="13"/>
        <v>653.5</v>
      </c>
    </row>
    <row r="417" spans="1:14" x14ac:dyDescent="0.2">
      <c r="A417" t="s">
        <v>63</v>
      </c>
      <c r="B417" s="1">
        <v>45379</v>
      </c>
      <c r="C417" t="s">
        <v>26</v>
      </c>
      <c r="D417">
        <v>2</v>
      </c>
      <c r="E417" s="1">
        <v>45505</v>
      </c>
      <c r="F417" t="s">
        <v>128</v>
      </c>
      <c r="G417">
        <v>200</v>
      </c>
      <c r="H417">
        <v>0</v>
      </c>
      <c r="I417">
        <v>446</v>
      </c>
      <c r="J417">
        <v>374</v>
      </c>
      <c r="K417">
        <v>6</v>
      </c>
      <c r="L417" s="1">
        <v>45533</v>
      </c>
      <c r="M417">
        <f t="shared" si="12"/>
        <v>72</v>
      </c>
      <c r="N417">
        <f t="shared" si="13"/>
        <v>66</v>
      </c>
    </row>
    <row r="418" spans="1:14" x14ac:dyDescent="0.2">
      <c r="A418" t="s">
        <v>106</v>
      </c>
      <c r="B418" s="1">
        <v>45318</v>
      </c>
      <c r="C418" t="s">
        <v>13</v>
      </c>
      <c r="D418">
        <v>3</v>
      </c>
      <c r="E418" s="1">
        <v>45463</v>
      </c>
      <c r="F418" t="s">
        <v>130</v>
      </c>
      <c r="G418">
        <v>200</v>
      </c>
      <c r="H418">
        <v>100</v>
      </c>
      <c r="I418">
        <v>114</v>
      </c>
      <c r="J418">
        <v>43</v>
      </c>
      <c r="K418">
        <v>6</v>
      </c>
      <c r="L418" s="1">
        <v>45487</v>
      </c>
      <c r="M418">
        <f t="shared" si="12"/>
        <v>71</v>
      </c>
      <c r="N418">
        <f t="shared" si="13"/>
        <v>-35</v>
      </c>
    </row>
    <row r="419" spans="1:14" x14ac:dyDescent="0.2">
      <c r="A419" t="s">
        <v>32</v>
      </c>
      <c r="B419" s="1">
        <v>45466</v>
      </c>
      <c r="C419" t="s">
        <v>26</v>
      </c>
      <c r="D419">
        <v>1</v>
      </c>
      <c r="E419" s="1">
        <v>45561</v>
      </c>
      <c r="F419" t="s">
        <v>129</v>
      </c>
      <c r="G419">
        <v>0</v>
      </c>
      <c r="H419">
        <v>0</v>
      </c>
      <c r="I419">
        <v>72</v>
      </c>
      <c r="J419">
        <v>67</v>
      </c>
      <c r="K419">
        <v>0</v>
      </c>
      <c r="L419" s="1">
        <v>45586</v>
      </c>
      <c r="M419">
        <f t="shared" si="12"/>
        <v>5</v>
      </c>
      <c r="N419">
        <f t="shared" si="13"/>
        <v>5</v>
      </c>
    </row>
    <row r="420" spans="1:14" x14ac:dyDescent="0.2">
      <c r="A420" t="s">
        <v>104</v>
      </c>
      <c r="B420" s="1">
        <v>45368</v>
      </c>
      <c r="C420" t="s">
        <v>16</v>
      </c>
      <c r="D420">
        <v>2</v>
      </c>
      <c r="E420" s="1">
        <v>45430</v>
      </c>
      <c r="F420" t="s">
        <v>130</v>
      </c>
      <c r="G420">
        <v>20</v>
      </c>
      <c r="H420">
        <v>10</v>
      </c>
      <c r="I420">
        <v>803</v>
      </c>
      <c r="J420">
        <v>342</v>
      </c>
      <c r="K420">
        <v>0.6</v>
      </c>
      <c r="L420" s="1">
        <v>45437</v>
      </c>
      <c r="M420">
        <f t="shared" si="12"/>
        <v>461</v>
      </c>
      <c r="N420">
        <f t="shared" si="13"/>
        <v>450.4</v>
      </c>
    </row>
    <row r="421" spans="1:14" x14ac:dyDescent="0.2">
      <c r="A421" t="s">
        <v>121</v>
      </c>
      <c r="B421" s="1">
        <v>45472</v>
      </c>
      <c r="C421" t="s">
        <v>16</v>
      </c>
      <c r="D421">
        <v>3</v>
      </c>
      <c r="E421" s="1">
        <v>45586</v>
      </c>
      <c r="F421" t="s">
        <v>130</v>
      </c>
      <c r="G421">
        <v>200</v>
      </c>
      <c r="H421">
        <v>40</v>
      </c>
      <c r="I421">
        <v>62</v>
      </c>
      <c r="J421">
        <v>10</v>
      </c>
      <c r="K421">
        <v>6</v>
      </c>
      <c r="L421" s="1">
        <v>45603</v>
      </c>
      <c r="M421">
        <f t="shared" si="12"/>
        <v>52</v>
      </c>
      <c r="N421">
        <f t="shared" si="13"/>
        <v>6</v>
      </c>
    </row>
    <row r="422" spans="1:14" x14ac:dyDescent="0.2">
      <c r="A422" t="s">
        <v>34</v>
      </c>
      <c r="B422" s="1">
        <v>45418</v>
      </c>
      <c r="C422" t="s">
        <v>26</v>
      </c>
      <c r="D422">
        <v>1</v>
      </c>
      <c r="E422" s="1">
        <v>45425</v>
      </c>
      <c r="F422" t="s">
        <v>128</v>
      </c>
      <c r="G422">
        <v>200</v>
      </c>
      <c r="H422">
        <v>0</v>
      </c>
      <c r="I422">
        <v>141</v>
      </c>
      <c r="J422">
        <v>86</v>
      </c>
      <c r="K422">
        <v>6</v>
      </c>
      <c r="L422" s="1">
        <v>45432</v>
      </c>
      <c r="M422">
        <f t="shared" si="12"/>
        <v>55</v>
      </c>
      <c r="N422">
        <f t="shared" si="13"/>
        <v>49</v>
      </c>
    </row>
    <row r="423" spans="1:14" x14ac:dyDescent="0.2">
      <c r="A423" t="s">
        <v>83</v>
      </c>
      <c r="B423" s="1">
        <v>45376</v>
      </c>
      <c r="C423" t="s">
        <v>22</v>
      </c>
      <c r="D423">
        <v>3</v>
      </c>
      <c r="E423" s="1">
        <v>45477</v>
      </c>
      <c r="F423" t="s">
        <v>129</v>
      </c>
      <c r="G423">
        <v>200</v>
      </c>
      <c r="H423">
        <v>40</v>
      </c>
      <c r="I423">
        <v>584</v>
      </c>
      <c r="J423">
        <v>446</v>
      </c>
      <c r="K423">
        <v>6</v>
      </c>
      <c r="L423" s="1">
        <v>45491</v>
      </c>
      <c r="M423">
        <f t="shared" si="12"/>
        <v>138</v>
      </c>
      <c r="N423">
        <f t="shared" si="13"/>
        <v>92</v>
      </c>
    </row>
    <row r="424" spans="1:14" x14ac:dyDescent="0.2">
      <c r="A424" t="s">
        <v>120</v>
      </c>
      <c r="B424" s="1">
        <v>45411</v>
      </c>
      <c r="C424" t="s">
        <v>16</v>
      </c>
      <c r="D424">
        <v>3</v>
      </c>
      <c r="E424" s="1">
        <v>45490</v>
      </c>
      <c r="F424" t="s">
        <v>129</v>
      </c>
      <c r="G424">
        <v>0</v>
      </c>
      <c r="H424">
        <v>0</v>
      </c>
      <c r="I424">
        <v>564</v>
      </c>
      <c r="J424">
        <v>410</v>
      </c>
      <c r="K424">
        <v>0</v>
      </c>
      <c r="L424" s="1">
        <v>45502</v>
      </c>
      <c r="M424">
        <f t="shared" si="12"/>
        <v>154</v>
      </c>
      <c r="N424">
        <f t="shared" si="13"/>
        <v>154</v>
      </c>
    </row>
    <row r="425" spans="1:14" x14ac:dyDescent="0.2">
      <c r="A425" t="s">
        <v>47</v>
      </c>
      <c r="B425" s="1">
        <v>45399</v>
      </c>
      <c r="C425" t="s">
        <v>16</v>
      </c>
      <c r="D425">
        <v>2</v>
      </c>
      <c r="E425" s="1">
        <v>45457</v>
      </c>
      <c r="F425" t="s">
        <v>131</v>
      </c>
      <c r="G425">
        <v>500</v>
      </c>
      <c r="H425">
        <v>250</v>
      </c>
      <c r="I425">
        <v>560</v>
      </c>
      <c r="J425">
        <v>216</v>
      </c>
      <c r="K425">
        <v>15</v>
      </c>
      <c r="L425" s="1">
        <v>45459</v>
      </c>
      <c r="M425">
        <f t="shared" si="12"/>
        <v>344</v>
      </c>
      <c r="N425">
        <f t="shared" si="13"/>
        <v>79</v>
      </c>
    </row>
    <row r="426" spans="1:14" x14ac:dyDescent="0.2">
      <c r="A426" t="s">
        <v>88</v>
      </c>
      <c r="B426" s="1">
        <v>45344</v>
      </c>
      <c r="C426" t="s">
        <v>16</v>
      </c>
      <c r="D426">
        <v>1</v>
      </c>
      <c r="E426" s="1">
        <v>45361</v>
      </c>
      <c r="F426" t="s">
        <v>131</v>
      </c>
      <c r="G426">
        <v>0</v>
      </c>
      <c r="H426">
        <v>0</v>
      </c>
      <c r="I426">
        <v>209</v>
      </c>
      <c r="J426">
        <v>156</v>
      </c>
      <c r="K426">
        <v>0</v>
      </c>
      <c r="L426" s="1">
        <v>45365</v>
      </c>
      <c r="M426">
        <f t="shared" si="12"/>
        <v>53</v>
      </c>
      <c r="N426">
        <f t="shared" si="13"/>
        <v>53</v>
      </c>
    </row>
    <row r="427" spans="1:14" x14ac:dyDescent="0.2">
      <c r="A427" t="s">
        <v>67</v>
      </c>
      <c r="B427" s="1">
        <v>45393</v>
      </c>
      <c r="C427" t="s">
        <v>26</v>
      </c>
      <c r="D427">
        <v>3</v>
      </c>
      <c r="E427" s="1">
        <v>45568</v>
      </c>
      <c r="F427" t="s">
        <v>128</v>
      </c>
      <c r="G427">
        <v>0</v>
      </c>
      <c r="H427">
        <v>0</v>
      </c>
      <c r="I427">
        <v>351</v>
      </c>
      <c r="J427">
        <v>195</v>
      </c>
      <c r="K427">
        <v>0</v>
      </c>
      <c r="L427" s="1">
        <v>45593</v>
      </c>
      <c r="M427">
        <f t="shared" si="12"/>
        <v>156</v>
      </c>
      <c r="N427">
        <f t="shared" si="13"/>
        <v>156</v>
      </c>
    </row>
    <row r="428" spans="1:14" x14ac:dyDescent="0.2">
      <c r="A428" t="s">
        <v>53</v>
      </c>
      <c r="B428" s="1">
        <v>45305</v>
      </c>
      <c r="C428" t="s">
        <v>13</v>
      </c>
      <c r="D428">
        <v>2</v>
      </c>
      <c r="E428" s="1">
        <v>45357</v>
      </c>
      <c r="F428" t="s">
        <v>130</v>
      </c>
      <c r="G428">
        <v>20</v>
      </c>
      <c r="H428">
        <v>0</v>
      </c>
      <c r="I428">
        <v>714</v>
      </c>
      <c r="J428">
        <v>13</v>
      </c>
      <c r="K428">
        <v>0.6</v>
      </c>
      <c r="L428" s="1">
        <v>45384</v>
      </c>
      <c r="M428">
        <f t="shared" si="12"/>
        <v>701</v>
      </c>
      <c r="N428">
        <f t="shared" si="13"/>
        <v>700.4</v>
      </c>
    </row>
    <row r="429" spans="1:14" x14ac:dyDescent="0.2">
      <c r="A429" t="s">
        <v>91</v>
      </c>
      <c r="B429" s="1">
        <v>45444</v>
      </c>
      <c r="C429" t="s">
        <v>22</v>
      </c>
      <c r="D429">
        <v>2</v>
      </c>
      <c r="E429" s="1">
        <v>45573</v>
      </c>
      <c r="F429" t="s">
        <v>129</v>
      </c>
      <c r="G429">
        <v>500</v>
      </c>
      <c r="H429">
        <v>0</v>
      </c>
      <c r="I429">
        <v>336</v>
      </c>
      <c r="J429">
        <v>284</v>
      </c>
      <c r="K429">
        <v>15</v>
      </c>
      <c r="L429" s="1">
        <v>45594</v>
      </c>
      <c r="M429">
        <f t="shared" si="12"/>
        <v>52</v>
      </c>
      <c r="N429">
        <f t="shared" si="13"/>
        <v>37</v>
      </c>
    </row>
    <row r="430" spans="1:14" x14ac:dyDescent="0.2">
      <c r="A430" t="s">
        <v>69</v>
      </c>
      <c r="B430" s="1">
        <v>45310</v>
      </c>
      <c r="C430" t="s">
        <v>22</v>
      </c>
      <c r="D430">
        <v>2</v>
      </c>
      <c r="E430" s="1">
        <v>45473</v>
      </c>
      <c r="F430" t="s">
        <v>131</v>
      </c>
      <c r="G430">
        <v>500</v>
      </c>
      <c r="H430">
        <v>100</v>
      </c>
      <c r="I430">
        <v>648</v>
      </c>
      <c r="J430">
        <v>333</v>
      </c>
      <c r="K430">
        <v>15</v>
      </c>
      <c r="L430" s="1">
        <v>45478</v>
      </c>
      <c r="M430">
        <f t="shared" si="12"/>
        <v>315</v>
      </c>
      <c r="N430">
        <f t="shared" si="13"/>
        <v>200</v>
      </c>
    </row>
    <row r="431" spans="1:14" x14ac:dyDescent="0.2">
      <c r="A431" t="s">
        <v>68</v>
      </c>
      <c r="B431" s="1">
        <v>45467</v>
      </c>
      <c r="C431" t="s">
        <v>22</v>
      </c>
      <c r="D431">
        <v>2</v>
      </c>
      <c r="E431" s="1">
        <v>45543</v>
      </c>
      <c r="F431" t="s">
        <v>131</v>
      </c>
      <c r="G431">
        <v>500</v>
      </c>
      <c r="H431">
        <v>250</v>
      </c>
      <c r="I431">
        <v>417</v>
      </c>
      <c r="J431">
        <v>304</v>
      </c>
      <c r="K431">
        <v>15</v>
      </c>
      <c r="L431" s="1">
        <v>45548</v>
      </c>
      <c r="M431">
        <f t="shared" si="12"/>
        <v>113</v>
      </c>
      <c r="N431">
        <f t="shared" si="13"/>
        <v>-152</v>
      </c>
    </row>
    <row r="432" spans="1:14" x14ac:dyDescent="0.2">
      <c r="A432" t="s">
        <v>121</v>
      </c>
      <c r="B432" s="1">
        <v>45307</v>
      </c>
      <c r="C432" t="s">
        <v>13</v>
      </c>
      <c r="D432">
        <v>2</v>
      </c>
      <c r="E432" s="1">
        <v>45413</v>
      </c>
      <c r="F432" t="s">
        <v>128</v>
      </c>
      <c r="G432">
        <v>20</v>
      </c>
      <c r="H432">
        <v>0</v>
      </c>
      <c r="I432">
        <v>728</v>
      </c>
      <c r="J432">
        <v>59</v>
      </c>
      <c r="K432">
        <v>0.6</v>
      </c>
      <c r="L432" s="1">
        <v>45426</v>
      </c>
      <c r="M432">
        <f t="shared" si="12"/>
        <v>669</v>
      </c>
      <c r="N432">
        <f t="shared" si="13"/>
        <v>668.4</v>
      </c>
    </row>
    <row r="433" spans="1:14" x14ac:dyDescent="0.2">
      <c r="A433" t="s">
        <v>92</v>
      </c>
      <c r="B433" s="1">
        <v>45448</v>
      </c>
      <c r="C433" t="s">
        <v>13</v>
      </c>
      <c r="D433">
        <v>2</v>
      </c>
      <c r="E433" s="1">
        <v>45627</v>
      </c>
      <c r="F433" t="s">
        <v>129</v>
      </c>
      <c r="G433">
        <v>200</v>
      </c>
      <c r="H433">
        <v>40</v>
      </c>
      <c r="I433">
        <v>783</v>
      </c>
      <c r="J433">
        <v>72</v>
      </c>
      <c r="K433">
        <v>6</v>
      </c>
      <c r="L433" s="1">
        <v>45650</v>
      </c>
      <c r="M433">
        <f t="shared" si="12"/>
        <v>711</v>
      </c>
      <c r="N433">
        <f t="shared" si="13"/>
        <v>665</v>
      </c>
    </row>
    <row r="434" spans="1:14" x14ac:dyDescent="0.2">
      <c r="A434" t="s">
        <v>31</v>
      </c>
      <c r="B434" s="1">
        <v>45305</v>
      </c>
      <c r="C434" t="s">
        <v>26</v>
      </c>
      <c r="D434">
        <v>3</v>
      </c>
      <c r="E434" s="1">
        <v>45312</v>
      </c>
      <c r="F434" t="s">
        <v>128</v>
      </c>
      <c r="G434">
        <v>50</v>
      </c>
      <c r="H434">
        <v>0</v>
      </c>
      <c r="I434">
        <v>161</v>
      </c>
      <c r="J434">
        <v>117</v>
      </c>
      <c r="K434">
        <v>1.5</v>
      </c>
      <c r="L434" s="1">
        <v>45329</v>
      </c>
      <c r="M434">
        <f t="shared" si="12"/>
        <v>44</v>
      </c>
      <c r="N434">
        <f t="shared" si="13"/>
        <v>42.5</v>
      </c>
    </row>
    <row r="435" spans="1:14" x14ac:dyDescent="0.2">
      <c r="A435" t="s">
        <v>83</v>
      </c>
      <c r="B435" s="1">
        <v>45300</v>
      </c>
      <c r="C435" t="s">
        <v>26</v>
      </c>
      <c r="D435">
        <v>2</v>
      </c>
      <c r="E435" s="1">
        <v>45398</v>
      </c>
      <c r="F435" t="s">
        <v>131</v>
      </c>
      <c r="G435">
        <v>500</v>
      </c>
      <c r="H435">
        <v>100</v>
      </c>
      <c r="I435">
        <v>27</v>
      </c>
      <c r="J435">
        <v>20</v>
      </c>
      <c r="K435">
        <v>15</v>
      </c>
      <c r="L435" s="1">
        <v>45425</v>
      </c>
      <c r="M435">
        <f t="shared" si="12"/>
        <v>7</v>
      </c>
      <c r="N435">
        <f t="shared" si="13"/>
        <v>-108</v>
      </c>
    </row>
    <row r="436" spans="1:14" x14ac:dyDescent="0.2">
      <c r="A436" t="s">
        <v>24</v>
      </c>
      <c r="B436" s="1">
        <v>45314</v>
      </c>
      <c r="C436" t="s">
        <v>13</v>
      </c>
      <c r="D436">
        <v>1</v>
      </c>
      <c r="E436" s="1">
        <v>45420</v>
      </c>
      <c r="F436" t="s">
        <v>129</v>
      </c>
      <c r="G436">
        <v>0</v>
      </c>
      <c r="H436">
        <v>0</v>
      </c>
      <c r="I436">
        <v>175</v>
      </c>
      <c r="J436">
        <v>109</v>
      </c>
      <c r="K436">
        <v>0</v>
      </c>
      <c r="L436" s="1">
        <v>45423</v>
      </c>
      <c r="M436">
        <f t="shared" si="12"/>
        <v>66</v>
      </c>
      <c r="N436">
        <f t="shared" si="13"/>
        <v>66</v>
      </c>
    </row>
    <row r="437" spans="1:14" x14ac:dyDescent="0.2">
      <c r="A437" t="s">
        <v>21</v>
      </c>
      <c r="B437" s="1">
        <v>45392</v>
      </c>
      <c r="C437" t="s">
        <v>13</v>
      </c>
      <c r="D437">
        <v>2</v>
      </c>
      <c r="E437" s="1">
        <v>45413</v>
      </c>
      <c r="F437" t="s">
        <v>130</v>
      </c>
      <c r="G437">
        <v>0</v>
      </c>
      <c r="H437">
        <v>0</v>
      </c>
      <c r="I437">
        <v>481</v>
      </c>
      <c r="J437">
        <v>10</v>
      </c>
      <c r="K437">
        <v>0</v>
      </c>
      <c r="L437" s="1">
        <v>45438</v>
      </c>
      <c r="M437">
        <f t="shared" si="12"/>
        <v>471</v>
      </c>
      <c r="N437">
        <f t="shared" si="13"/>
        <v>471</v>
      </c>
    </row>
    <row r="438" spans="1:14" x14ac:dyDescent="0.2">
      <c r="A438" t="s">
        <v>110</v>
      </c>
      <c r="B438" s="1">
        <v>45436</v>
      </c>
      <c r="C438" t="s">
        <v>22</v>
      </c>
      <c r="D438">
        <v>1</v>
      </c>
      <c r="E438" s="1">
        <v>45567</v>
      </c>
      <c r="F438" t="s">
        <v>131</v>
      </c>
      <c r="G438">
        <v>500</v>
      </c>
      <c r="H438">
        <v>250</v>
      </c>
      <c r="I438">
        <v>661</v>
      </c>
      <c r="J438">
        <v>216</v>
      </c>
      <c r="K438">
        <v>15</v>
      </c>
      <c r="L438" s="1">
        <v>45595</v>
      </c>
      <c r="M438">
        <f t="shared" si="12"/>
        <v>445</v>
      </c>
      <c r="N438">
        <f t="shared" si="13"/>
        <v>180</v>
      </c>
    </row>
    <row r="439" spans="1:14" x14ac:dyDescent="0.2">
      <c r="A439" t="s">
        <v>37</v>
      </c>
      <c r="B439" s="1">
        <v>45448</v>
      </c>
      <c r="C439" t="s">
        <v>19</v>
      </c>
      <c r="D439">
        <v>1</v>
      </c>
      <c r="E439" s="1">
        <v>45451</v>
      </c>
      <c r="F439" t="s">
        <v>129</v>
      </c>
      <c r="G439">
        <v>100</v>
      </c>
      <c r="H439">
        <v>0</v>
      </c>
      <c r="I439">
        <v>391</v>
      </c>
      <c r="J439">
        <v>275</v>
      </c>
      <c r="K439">
        <v>3</v>
      </c>
      <c r="L439" s="1">
        <v>45460</v>
      </c>
      <c r="M439">
        <f t="shared" si="12"/>
        <v>116</v>
      </c>
      <c r="N439">
        <f t="shared" si="13"/>
        <v>113</v>
      </c>
    </row>
    <row r="440" spans="1:14" x14ac:dyDescent="0.2">
      <c r="A440" t="s">
        <v>43</v>
      </c>
      <c r="B440" s="1">
        <v>45355</v>
      </c>
      <c r="C440" t="s">
        <v>22</v>
      </c>
      <c r="D440">
        <v>1</v>
      </c>
      <c r="E440" s="1">
        <v>45512</v>
      </c>
      <c r="F440" t="s">
        <v>129</v>
      </c>
      <c r="G440">
        <v>500</v>
      </c>
      <c r="H440">
        <v>250</v>
      </c>
      <c r="I440">
        <v>888</v>
      </c>
      <c r="J440">
        <v>65</v>
      </c>
      <c r="K440">
        <v>15</v>
      </c>
      <c r="L440" s="1">
        <v>45535</v>
      </c>
      <c r="M440">
        <f t="shared" si="12"/>
        <v>823</v>
      </c>
      <c r="N440">
        <f t="shared" si="13"/>
        <v>558</v>
      </c>
    </row>
    <row r="441" spans="1:14" x14ac:dyDescent="0.2">
      <c r="A441" t="s">
        <v>91</v>
      </c>
      <c r="B441" s="1">
        <v>45315</v>
      </c>
      <c r="C441" t="s">
        <v>13</v>
      </c>
      <c r="D441">
        <v>1</v>
      </c>
      <c r="E441" s="1">
        <v>45343</v>
      </c>
      <c r="F441" t="s">
        <v>130</v>
      </c>
      <c r="G441">
        <v>50</v>
      </c>
      <c r="H441">
        <v>10</v>
      </c>
      <c r="I441">
        <v>252</v>
      </c>
      <c r="J441">
        <v>244</v>
      </c>
      <c r="K441">
        <v>1.5</v>
      </c>
      <c r="L441" s="1">
        <v>45365</v>
      </c>
      <c r="M441">
        <f t="shared" si="12"/>
        <v>8</v>
      </c>
      <c r="N441">
        <f t="shared" si="13"/>
        <v>-3.5</v>
      </c>
    </row>
    <row r="442" spans="1:14" x14ac:dyDescent="0.2">
      <c r="A442" t="s">
        <v>82</v>
      </c>
      <c r="B442" s="1">
        <v>45472</v>
      </c>
      <c r="C442" t="s">
        <v>16</v>
      </c>
      <c r="D442">
        <v>3</v>
      </c>
      <c r="E442" s="1">
        <v>45528</v>
      </c>
      <c r="F442" t="s">
        <v>131</v>
      </c>
      <c r="G442">
        <v>0</v>
      </c>
      <c r="H442">
        <v>0</v>
      </c>
      <c r="I442">
        <v>728</v>
      </c>
      <c r="J442">
        <v>396</v>
      </c>
      <c r="K442">
        <v>0</v>
      </c>
      <c r="L442" s="1">
        <v>45557</v>
      </c>
      <c r="M442">
        <f t="shared" si="12"/>
        <v>332</v>
      </c>
      <c r="N442">
        <f t="shared" si="13"/>
        <v>332</v>
      </c>
    </row>
    <row r="443" spans="1:14" x14ac:dyDescent="0.2">
      <c r="A443" t="s">
        <v>58</v>
      </c>
      <c r="B443" s="1">
        <v>45458</v>
      </c>
      <c r="C443" t="s">
        <v>22</v>
      </c>
      <c r="D443">
        <v>3</v>
      </c>
      <c r="E443" s="1">
        <v>45586</v>
      </c>
      <c r="F443" t="s">
        <v>130</v>
      </c>
      <c r="G443">
        <v>50</v>
      </c>
      <c r="H443">
        <v>0</v>
      </c>
      <c r="I443">
        <v>543</v>
      </c>
      <c r="J443">
        <v>174</v>
      </c>
      <c r="K443">
        <v>1.5</v>
      </c>
      <c r="L443" s="1">
        <v>45603</v>
      </c>
      <c r="M443">
        <f t="shared" si="12"/>
        <v>369</v>
      </c>
      <c r="N443">
        <f t="shared" si="13"/>
        <v>367.5</v>
      </c>
    </row>
    <row r="444" spans="1:14" x14ac:dyDescent="0.2">
      <c r="A444" t="s">
        <v>118</v>
      </c>
      <c r="B444" s="1">
        <v>45363</v>
      </c>
      <c r="C444" t="s">
        <v>22</v>
      </c>
      <c r="D444">
        <v>2</v>
      </c>
      <c r="E444" s="1">
        <v>45417</v>
      </c>
      <c r="F444" t="s">
        <v>131</v>
      </c>
      <c r="G444">
        <v>200</v>
      </c>
      <c r="H444">
        <v>100</v>
      </c>
      <c r="I444">
        <v>601</v>
      </c>
      <c r="J444">
        <v>494</v>
      </c>
      <c r="K444">
        <v>6</v>
      </c>
      <c r="L444" s="1">
        <v>45432</v>
      </c>
      <c r="M444">
        <f t="shared" si="12"/>
        <v>107</v>
      </c>
      <c r="N444">
        <f t="shared" si="13"/>
        <v>1</v>
      </c>
    </row>
    <row r="445" spans="1:14" x14ac:dyDescent="0.2">
      <c r="A445" t="s">
        <v>118</v>
      </c>
      <c r="B445" s="1">
        <v>45315</v>
      </c>
      <c r="C445" t="s">
        <v>13</v>
      </c>
      <c r="D445">
        <v>2</v>
      </c>
      <c r="E445" s="1">
        <v>45394</v>
      </c>
      <c r="F445" t="s">
        <v>131</v>
      </c>
      <c r="G445">
        <v>200</v>
      </c>
      <c r="H445">
        <v>40</v>
      </c>
      <c r="I445">
        <v>474</v>
      </c>
      <c r="J445">
        <v>102</v>
      </c>
      <c r="K445">
        <v>6</v>
      </c>
      <c r="L445" s="1">
        <v>45405</v>
      </c>
      <c r="M445">
        <f t="shared" si="12"/>
        <v>372</v>
      </c>
      <c r="N445">
        <f t="shared" si="13"/>
        <v>326</v>
      </c>
    </row>
    <row r="446" spans="1:14" x14ac:dyDescent="0.2">
      <c r="A446" t="s">
        <v>91</v>
      </c>
      <c r="B446" s="1">
        <v>45453</v>
      </c>
      <c r="C446" t="s">
        <v>13</v>
      </c>
      <c r="D446">
        <v>2</v>
      </c>
      <c r="E446" s="1">
        <v>45522</v>
      </c>
      <c r="F446" t="s">
        <v>128</v>
      </c>
      <c r="G446">
        <v>100</v>
      </c>
      <c r="H446">
        <v>50</v>
      </c>
      <c r="I446">
        <v>552</v>
      </c>
      <c r="J446">
        <v>243</v>
      </c>
      <c r="K446">
        <v>3</v>
      </c>
      <c r="L446" s="1">
        <v>45549</v>
      </c>
      <c r="M446">
        <f t="shared" si="12"/>
        <v>309</v>
      </c>
      <c r="N446">
        <f t="shared" si="13"/>
        <v>256</v>
      </c>
    </row>
    <row r="447" spans="1:14" x14ac:dyDescent="0.2">
      <c r="A447" t="s">
        <v>79</v>
      </c>
      <c r="B447" s="1">
        <v>45447</v>
      </c>
      <c r="C447" t="s">
        <v>16</v>
      </c>
      <c r="D447">
        <v>3</v>
      </c>
      <c r="E447" s="1">
        <v>45616</v>
      </c>
      <c r="F447" t="s">
        <v>128</v>
      </c>
      <c r="G447">
        <v>100</v>
      </c>
      <c r="H447">
        <v>50</v>
      </c>
      <c r="I447">
        <v>387</v>
      </c>
      <c r="J447">
        <v>320</v>
      </c>
      <c r="K447">
        <v>3</v>
      </c>
      <c r="L447" s="1">
        <v>45629</v>
      </c>
      <c r="M447">
        <f t="shared" si="12"/>
        <v>67</v>
      </c>
      <c r="N447">
        <f t="shared" si="13"/>
        <v>14</v>
      </c>
    </row>
    <row r="448" spans="1:14" x14ac:dyDescent="0.2">
      <c r="A448" t="s">
        <v>56</v>
      </c>
      <c r="B448" s="1">
        <v>45403</v>
      </c>
      <c r="C448" t="s">
        <v>26</v>
      </c>
      <c r="D448">
        <v>1</v>
      </c>
      <c r="E448" s="1">
        <v>45465</v>
      </c>
      <c r="F448" t="s">
        <v>128</v>
      </c>
      <c r="G448">
        <v>20</v>
      </c>
      <c r="H448">
        <v>4</v>
      </c>
      <c r="I448">
        <v>832</v>
      </c>
      <c r="J448">
        <v>424</v>
      </c>
      <c r="K448">
        <v>0.6</v>
      </c>
      <c r="L448" s="1">
        <v>45485</v>
      </c>
      <c r="M448">
        <f t="shared" si="12"/>
        <v>408</v>
      </c>
      <c r="N448">
        <f t="shared" si="13"/>
        <v>403.4</v>
      </c>
    </row>
    <row r="449" spans="1:14" x14ac:dyDescent="0.2">
      <c r="A449" t="s">
        <v>86</v>
      </c>
      <c r="B449" s="1">
        <v>45442</v>
      </c>
      <c r="C449" t="s">
        <v>16</v>
      </c>
      <c r="D449">
        <v>2</v>
      </c>
      <c r="E449" s="1">
        <v>45587</v>
      </c>
      <c r="F449" t="s">
        <v>129</v>
      </c>
      <c r="G449">
        <v>20</v>
      </c>
      <c r="H449">
        <v>0</v>
      </c>
      <c r="I449">
        <v>294</v>
      </c>
      <c r="J449">
        <v>169</v>
      </c>
      <c r="K449">
        <v>0.6</v>
      </c>
      <c r="L449" s="1">
        <v>45612</v>
      </c>
      <c r="M449">
        <f t="shared" si="12"/>
        <v>125</v>
      </c>
      <c r="N449">
        <f t="shared" si="13"/>
        <v>124.4</v>
      </c>
    </row>
    <row r="450" spans="1:14" x14ac:dyDescent="0.2">
      <c r="A450" t="s">
        <v>62</v>
      </c>
      <c r="B450" s="1">
        <v>45310</v>
      </c>
      <c r="C450" t="s">
        <v>26</v>
      </c>
      <c r="D450">
        <v>2</v>
      </c>
      <c r="E450" s="1">
        <v>45344</v>
      </c>
      <c r="F450" t="s">
        <v>129</v>
      </c>
      <c r="G450">
        <v>0</v>
      </c>
      <c r="H450">
        <v>0</v>
      </c>
      <c r="I450">
        <v>645</v>
      </c>
      <c r="J450">
        <v>53</v>
      </c>
      <c r="K450">
        <v>0</v>
      </c>
      <c r="L450" s="1">
        <v>45367</v>
      </c>
      <c r="M450">
        <f t="shared" si="12"/>
        <v>592</v>
      </c>
      <c r="N450">
        <f t="shared" si="13"/>
        <v>592</v>
      </c>
    </row>
    <row r="451" spans="1:14" x14ac:dyDescent="0.2">
      <c r="A451" t="s">
        <v>103</v>
      </c>
      <c r="B451" s="1">
        <v>45405</v>
      </c>
      <c r="C451" t="s">
        <v>22</v>
      </c>
      <c r="D451">
        <v>3</v>
      </c>
      <c r="E451" s="1">
        <v>45502</v>
      </c>
      <c r="F451" t="s">
        <v>131</v>
      </c>
      <c r="G451">
        <v>50</v>
      </c>
      <c r="H451">
        <v>25</v>
      </c>
      <c r="I451">
        <v>384</v>
      </c>
      <c r="J451">
        <v>338</v>
      </c>
      <c r="K451">
        <v>1.5</v>
      </c>
      <c r="L451" s="1">
        <v>45511</v>
      </c>
      <c r="M451">
        <f t="shared" ref="M451:M501" si="14">I451-J451</f>
        <v>46</v>
      </c>
      <c r="N451">
        <f t="shared" ref="N451:N501" si="15">M451-H451-K451</f>
        <v>19.5</v>
      </c>
    </row>
    <row r="452" spans="1:14" x14ac:dyDescent="0.2">
      <c r="A452" t="s">
        <v>46</v>
      </c>
      <c r="B452" s="1">
        <v>45470</v>
      </c>
      <c r="C452" t="s">
        <v>19</v>
      </c>
      <c r="D452">
        <v>3</v>
      </c>
      <c r="E452" s="1">
        <v>45580</v>
      </c>
      <c r="F452" t="s">
        <v>129</v>
      </c>
      <c r="G452">
        <v>200</v>
      </c>
      <c r="H452">
        <v>40</v>
      </c>
      <c r="I452">
        <v>997</v>
      </c>
      <c r="J452">
        <v>815</v>
      </c>
      <c r="K452">
        <v>6</v>
      </c>
      <c r="L452" s="1">
        <v>45604</v>
      </c>
      <c r="M452">
        <f t="shared" si="14"/>
        <v>182</v>
      </c>
      <c r="N452">
        <f t="shared" si="15"/>
        <v>136</v>
      </c>
    </row>
    <row r="453" spans="1:14" x14ac:dyDescent="0.2">
      <c r="A453" t="s">
        <v>70</v>
      </c>
      <c r="B453" s="1">
        <v>45383</v>
      </c>
      <c r="C453" t="s">
        <v>19</v>
      </c>
      <c r="D453">
        <v>1</v>
      </c>
      <c r="E453" s="1">
        <v>45504</v>
      </c>
      <c r="F453" t="s">
        <v>131</v>
      </c>
      <c r="G453">
        <v>50</v>
      </c>
      <c r="H453">
        <v>0</v>
      </c>
      <c r="I453">
        <v>375</v>
      </c>
      <c r="J453">
        <v>9</v>
      </c>
      <c r="K453">
        <v>1.5</v>
      </c>
      <c r="L453" s="1">
        <v>45507</v>
      </c>
      <c r="M453">
        <f t="shared" si="14"/>
        <v>366</v>
      </c>
      <c r="N453">
        <f t="shared" si="15"/>
        <v>364.5</v>
      </c>
    </row>
    <row r="454" spans="1:14" x14ac:dyDescent="0.2">
      <c r="A454" t="s">
        <v>37</v>
      </c>
      <c r="B454" s="1">
        <v>45371</v>
      </c>
      <c r="C454" t="s">
        <v>22</v>
      </c>
      <c r="D454">
        <v>2</v>
      </c>
      <c r="E454" s="1">
        <v>45381</v>
      </c>
      <c r="F454" t="s">
        <v>130</v>
      </c>
      <c r="G454">
        <v>50</v>
      </c>
      <c r="H454">
        <v>0</v>
      </c>
      <c r="I454">
        <v>669</v>
      </c>
      <c r="J454">
        <v>625</v>
      </c>
      <c r="K454">
        <v>1.5</v>
      </c>
      <c r="L454" s="1">
        <v>45400</v>
      </c>
      <c r="M454">
        <f t="shared" si="14"/>
        <v>44</v>
      </c>
      <c r="N454">
        <f t="shared" si="15"/>
        <v>42.5</v>
      </c>
    </row>
    <row r="455" spans="1:14" x14ac:dyDescent="0.2">
      <c r="A455" t="s">
        <v>92</v>
      </c>
      <c r="B455" s="1">
        <v>45292</v>
      </c>
      <c r="C455" t="s">
        <v>26</v>
      </c>
      <c r="D455">
        <v>3</v>
      </c>
      <c r="E455" s="1">
        <v>45361</v>
      </c>
      <c r="F455" t="s">
        <v>129</v>
      </c>
      <c r="G455">
        <v>50</v>
      </c>
      <c r="H455">
        <v>25</v>
      </c>
      <c r="I455">
        <v>441</v>
      </c>
      <c r="J455">
        <v>363</v>
      </c>
      <c r="K455">
        <v>1.5</v>
      </c>
      <c r="L455" s="1">
        <v>45364</v>
      </c>
      <c r="M455">
        <f t="shared" si="14"/>
        <v>78</v>
      </c>
      <c r="N455">
        <f t="shared" si="15"/>
        <v>51.5</v>
      </c>
    </row>
    <row r="456" spans="1:14" x14ac:dyDescent="0.2">
      <c r="A456" t="s">
        <v>27</v>
      </c>
      <c r="B456" s="1">
        <v>45471</v>
      </c>
      <c r="C456" t="s">
        <v>13</v>
      </c>
      <c r="D456">
        <v>3</v>
      </c>
      <c r="E456" s="1">
        <v>45497</v>
      </c>
      <c r="F456" t="s">
        <v>129</v>
      </c>
      <c r="G456">
        <v>500</v>
      </c>
      <c r="H456">
        <v>100</v>
      </c>
      <c r="I456">
        <v>732</v>
      </c>
      <c r="J456">
        <v>536</v>
      </c>
      <c r="K456">
        <v>15</v>
      </c>
      <c r="L456" s="1">
        <v>45523</v>
      </c>
      <c r="M456">
        <f t="shared" si="14"/>
        <v>196</v>
      </c>
      <c r="N456">
        <f t="shared" si="15"/>
        <v>81</v>
      </c>
    </row>
    <row r="457" spans="1:14" x14ac:dyDescent="0.2">
      <c r="A457" t="s">
        <v>52</v>
      </c>
      <c r="B457" s="1">
        <v>45308</v>
      </c>
      <c r="C457" t="s">
        <v>16</v>
      </c>
      <c r="D457">
        <v>1</v>
      </c>
      <c r="E457" s="1">
        <v>45415</v>
      </c>
      <c r="F457" t="s">
        <v>129</v>
      </c>
      <c r="G457">
        <v>200</v>
      </c>
      <c r="H457">
        <v>100</v>
      </c>
      <c r="I457">
        <v>972</v>
      </c>
      <c r="J457">
        <v>94</v>
      </c>
      <c r="K457">
        <v>6</v>
      </c>
      <c r="L457" s="1">
        <v>45445</v>
      </c>
      <c r="M457">
        <f t="shared" si="14"/>
        <v>878</v>
      </c>
      <c r="N457">
        <f t="shared" si="15"/>
        <v>772</v>
      </c>
    </row>
    <row r="458" spans="1:14" x14ac:dyDescent="0.2">
      <c r="A458" t="s">
        <v>75</v>
      </c>
      <c r="B458" s="1">
        <v>45385</v>
      </c>
      <c r="C458" t="s">
        <v>16</v>
      </c>
      <c r="D458">
        <v>1</v>
      </c>
      <c r="E458" s="1">
        <v>45464</v>
      </c>
      <c r="F458" t="s">
        <v>130</v>
      </c>
      <c r="G458">
        <v>200</v>
      </c>
      <c r="H458">
        <v>40</v>
      </c>
      <c r="I458">
        <v>846</v>
      </c>
      <c r="J458">
        <v>305</v>
      </c>
      <c r="K458">
        <v>6</v>
      </c>
      <c r="L458" s="1">
        <v>45475</v>
      </c>
      <c r="M458">
        <f t="shared" si="14"/>
        <v>541</v>
      </c>
      <c r="N458">
        <f t="shared" si="15"/>
        <v>495</v>
      </c>
    </row>
    <row r="459" spans="1:14" x14ac:dyDescent="0.2">
      <c r="A459" t="s">
        <v>12</v>
      </c>
      <c r="B459" s="1">
        <v>45426</v>
      </c>
      <c r="C459" t="s">
        <v>19</v>
      </c>
      <c r="D459">
        <v>3</v>
      </c>
      <c r="E459" s="1">
        <v>45459</v>
      </c>
      <c r="F459" t="s">
        <v>128</v>
      </c>
      <c r="G459">
        <v>200</v>
      </c>
      <c r="H459">
        <v>100</v>
      </c>
      <c r="I459">
        <v>976</v>
      </c>
      <c r="J459">
        <v>826</v>
      </c>
      <c r="K459">
        <v>6</v>
      </c>
      <c r="L459" s="1">
        <v>45483</v>
      </c>
      <c r="M459">
        <f t="shared" si="14"/>
        <v>150</v>
      </c>
      <c r="N459">
        <f t="shared" si="15"/>
        <v>44</v>
      </c>
    </row>
    <row r="460" spans="1:14" x14ac:dyDescent="0.2">
      <c r="A460" t="s">
        <v>119</v>
      </c>
      <c r="B460" s="1">
        <v>45412</v>
      </c>
      <c r="C460" t="s">
        <v>26</v>
      </c>
      <c r="D460">
        <v>1</v>
      </c>
      <c r="E460" s="1">
        <v>45552</v>
      </c>
      <c r="F460" t="s">
        <v>129</v>
      </c>
      <c r="G460">
        <v>0</v>
      </c>
      <c r="H460">
        <v>0</v>
      </c>
      <c r="I460">
        <v>262</v>
      </c>
      <c r="J460">
        <v>168</v>
      </c>
      <c r="K460">
        <v>0</v>
      </c>
      <c r="L460" s="1">
        <v>45557</v>
      </c>
      <c r="M460">
        <f t="shared" si="14"/>
        <v>94</v>
      </c>
      <c r="N460">
        <f t="shared" si="15"/>
        <v>94</v>
      </c>
    </row>
    <row r="461" spans="1:14" x14ac:dyDescent="0.2">
      <c r="A461" t="s">
        <v>24</v>
      </c>
      <c r="B461" s="1">
        <v>45331</v>
      </c>
      <c r="C461" t="s">
        <v>13</v>
      </c>
      <c r="D461">
        <v>2</v>
      </c>
      <c r="E461" s="1">
        <v>45494</v>
      </c>
      <c r="F461" t="s">
        <v>129</v>
      </c>
      <c r="G461">
        <v>500</v>
      </c>
      <c r="H461">
        <v>100</v>
      </c>
      <c r="I461">
        <v>27</v>
      </c>
      <c r="J461">
        <v>3</v>
      </c>
      <c r="K461">
        <v>15</v>
      </c>
      <c r="L461" s="1">
        <v>45509</v>
      </c>
      <c r="M461">
        <f t="shared" si="14"/>
        <v>24</v>
      </c>
      <c r="N461">
        <f t="shared" si="15"/>
        <v>-91</v>
      </c>
    </row>
    <row r="462" spans="1:14" x14ac:dyDescent="0.2">
      <c r="A462" t="s">
        <v>108</v>
      </c>
      <c r="B462" s="1">
        <v>45435</v>
      </c>
      <c r="C462" t="s">
        <v>16</v>
      </c>
      <c r="D462">
        <v>2</v>
      </c>
      <c r="E462" s="1">
        <v>45551</v>
      </c>
      <c r="F462" t="s">
        <v>129</v>
      </c>
      <c r="G462">
        <v>50</v>
      </c>
      <c r="H462">
        <v>10</v>
      </c>
      <c r="I462">
        <v>492</v>
      </c>
      <c r="J462">
        <v>371</v>
      </c>
      <c r="K462">
        <v>1.5</v>
      </c>
      <c r="L462" s="1">
        <v>45577</v>
      </c>
      <c r="M462">
        <f t="shared" si="14"/>
        <v>121</v>
      </c>
      <c r="N462">
        <f t="shared" si="15"/>
        <v>109.5</v>
      </c>
    </row>
    <row r="463" spans="1:14" x14ac:dyDescent="0.2">
      <c r="A463" t="s">
        <v>98</v>
      </c>
      <c r="B463" s="1">
        <v>45352</v>
      </c>
      <c r="C463" t="s">
        <v>16</v>
      </c>
      <c r="D463">
        <v>3</v>
      </c>
      <c r="E463" s="1">
        <v>45486</v>
      </c>
      <c r="F463" t="s">
        <v>129</v>
      </c>
      <c r="G463">
        <v>500</v>
      </c>
      <c r="H463">
        <v>250</v>
      </c>
      <c r="I463">
        <v>936</v>
      </c>
      <c r="J463">
        <v>306</v>
      </c>
      <c r="K463">
        <v>15</v>
      </c>
      <c r="L463" s="1">
        <v>45498</v>
      </c>
      <c r="M463">
        <f t="shared" si="14"/>
        <v>630</v>
      </c>
      <c r="N463">
        <f t="shared" si="15"/>
        <v>365</v>
      </c>
    </row>
    <row r="464" spans="1:14" x14ac:dyDescent="0.2">
      <c r="A464" t="s">
        <v>49</v>
      </c>
      <c r="B464" s="1">
        <v>45468</v>
      </c>
      <c r="C464" t="s">
        <v>26</v>
      </c>
      <c r="D464">
        <v>3</v>
      </c>
      <c r="E464" s="1">
        <v>45502</v>
      </c>
      <c r="F464" t="s">
        <v>130</v>
      </c>
      <c r="G464">
        <v>100</v>
      </c>
      <c r="H464">
        <v>20</v>
      </c>
      <c r="I464">
        <v>290</v>
      </c>
      <c r="J464">
        <v>216</v>
      </c>
      <c r="K464">
        <v>3</v>
      </c>
      <c r="L464" s="1">
        <v>45504</v>
      </c>
      <c r="M464">
        <f t="shared" si="14"/>
        <v>74</v>
      </c>
      <c r="N464">
        <f t="shared" si="15"/>
        <v>51</v>
      </c>
    </row>
    <row r="465" spans="1:14" x14ac:dyDescent="0.2">
      <c r="A465" t="s">
        <v>86</v>
      </c>
      <c r="B465" s="1">
        <v>45388</v>
      </c>
      <c r="C465" t="s">
        <v>19</v>
      </c>
      <c r="D465">
        <v>3</v>
      </c>
      <c r="E465" s="1">
        <v>45522</v>
      </c>
      <c r="F465" t="s">
        <v>130</v>
      </c>
      <c r="G465">
        <v>100</v>
      </c>
      <c r="H465">
        <v>0</v>
      </c>
      <c r="I465">
        <v>798</v>
      </c>
      <c r="J465">
        <v>238</v>
      </c>
      <c r="K465">
        <v>3</v>
      </c>
      <c r="L465" s="1">
        <v>45522</v>
      </c>
      <c r="M465">
        <f t="shared" si="14"/>
        <v>560</v>
      </c>
      <c r="N465">
        <f t="shared" si="15"/>
        <v>557</v>
      </c>
    </row>
    <row r="466" spans="1:14" x14ac:dyDescent="0.2">
      <c r="A466" t="s">
        <v>60</v>
      </c>
      <c r="B466" s="1">
        <v>45391</v>
      </c>
      <c r="C466" t="s">
        <v>22</v>
      </c>
      <c r="D466">
        <v>3</v>
      </c>
      <c r="E466" s="1">
        <v>45444</v>
      </c>
      <c r="F466" t="s">
        <v>130</v>
      </c>
      <c r="G466">
        <v>200</v>
      </c>
      <c r="H466">
        <v>100</v>
      </c>
      <c r="I466">
        <v>591</v>
      </c>
      <c r="J466">
        <v>386</v>
      </c>
      <c r="K466">
        <v>6</v>
      </c>
      <c r="L466" s="1">
        <v>45466</v>
      </c>
      <c r="M466">
        <f t="shared" si="14"/>
        <v>205</v>
      </c>
      <c r="N466">
        <f t="shared" si="15"/>
        <v>99</v>
      </c>
    </row>
    <row r="467" spans="1:14" x14ac:dyDescent="0.2">
      <c r="A467" t="s">
        <v>119</v>
      </c>
      <c r="B467" s="1">
        <v>45468</v>
      </c>
      <c r="C467" t="s">
        <v>22</v>
      </c>
      <c r="D467">
        <v>1</v>
      </c>
      <c r="E467" s="1">
        <v>45636</v>
      </c>
      <c r="F467" t="s">
        <v>131</v>
      </c>
      <c r="G467">
        <v>20</v>
      </c>
      <c r="H467">
        <v>0</v>
      </c>
      <c r="I467">
        <v>502</v>
      </c>
      <c r="J467">
        <v>185</v>
      </c>
      <c r="K467">
        <v>0.6</v>
      </c>
      <c r="L467" s="1">
        <v>45646</v>
      </c>
      <c r="M467">
        <f t="shared" si="14"/>
        <v>317</v>
      </c>
      <c r="N467">
        <f t="shared" si="15"/>
        <v>316.39999999999998</v>
      </c>
    </row>
    <row r="468" spans="1:14" x14ac:dyDescent="0.2">
      <c r="A468" t="s">
        <v>101</v>
      </c>
      <c r="B468" s="1">
        <v>45317</v>
      </c>
      <c r="C468" t="s">
        <v>26</v>
      </c>
      <c r="D468">
        <v>2</v>
      </c>
      <c r="E468" s="1">
        <v>45482</v>
      </c>
      <c r="F468" t="s">
        <v>129</v>
      </c>
      <c r="G468">
        <v>20</v>
      </c>
      <c r="H468">
        <v>0</v>
      </c>
      <c r="I468">
        <v>899</v>
      </c>
      <c r="J468">
        <v>100</v>
      </c>
      <c r="K468">
        <v>0.6</v>
      </c>
      <c r="L468" s="1">
        <v>45499</v>
      </c>
      <c r="M468">
        <f t="shared" si="14"/>
        <v>799</v>
      </c>
      <c r="N468">
        <f t="shared" si="15"/>
        <v>798.4</v>
      </c>
    </row>
    <row r="469" spans="1:14" x14ac:dyDescent="0.2">
      <c r="A469" t="s">
        <v>70</v>
      </c>
      <c r="B469" s="1">
        <v>45391</v>
      </c>
      <c r="C469" t="s">
        <v>16</v>
      </c>
      <c r="D469">
        <v>3</v>
      </c>
      <c r="E469" s="1">
        <v>45526</v>
      </c>
      <c r="F469" t="s">
        <v>129</v>
      </c>
      <c r="G469">
        <v>100</v>
      </c>
      <c r="H469">
        <v>20</v>
      </c>
      <c r="I469">
        <v>974</v>
      </c>
      <c r="J469">
        <v>666</v>
      </c>
      <c r="K469">
        <v>3</v>
      </c>
      <c r="L469" s="1">
        <v>45532</v>
      </c>
      <c r="M469">
        <f t="shared" si="14"/>
        <v>308</v>
      </c>
      <c r="N469">
        <f t="shared" si="15"/>
        <v>285</v>
      </c>
    </row>
    <row r="470" spans="1:14" x14ac:dyDescent="0.2">
      <c r="A470" t="s">
        <v>58</v>
      </c>
      <c r="B470" s="1">
        <v>45336</v>
      </c>
      <c r="C470" t="s">
        <v>26</v>
      </c>
      <c r="D470">
        <v>3</v>
      </c>
      <c r="E470" s="1">
        <v>45363</v>
      </c>
      <c r="F470" t="s">
        <v>130</v>
      </c>
      <c r="G470">
        <v>0</v>
      </c>
      <c r="H470">
        <v>0</v>
      </c>
      <c r="I470">
        <v>444</v>
      </c>
      <c r="J470">
        <v>269</v>
      </c>
      <c r="K470">
        <v>0</v>
      </c>
      <c r="L470" s="1">
        <v>45392</v>
      </c>
      <c r="M470">
        <f t="shared" si="14"/>
        <v>175</v>
      </c>
      <c r="N470">
        <f t="shared" si="15"/>
        <v>175</v>
      </c>
    </row>
    <row r="471" spans="1:14" x14ac:dyDescent="0.2">
      <c r="A471" t="s">
        <v>90</v>
      </c>
      <c r="B471" s="1">
        <v>45433</v>
      </c>
      <c r="C471" t="s">
        <v>13</v>
      </c>
      <c r="D471">
        <v>1</v>
      </c>
      <c r="E471" s="1">
        <v>45448</v>
      </c>
      <c r="F471" t="s">
        <v>131</v>
      </c>
      <c r="G471">
        <v>200</v>
      </c>
      <c r="H471">
        <v>40</v>
      </c>
      <c r="I471">
        <v>75</v>
      </c>
      <c r="J471">
        <v>66</v>
      </c>
      <c r="K471">
        <v>6</v>
      </c>
      <c r="L471" s="1">
        <v>45455</v>
      </c>
      <c r="M471">
        <f t="shared" si="14"/>
        <v>9</v>
      </c>
      <c r="N471">
        <f t="shared" si="15"/>
        <v>-37</v>
      </c>
    </row>
    <row r="472" spans="1:14" x14ac:dyDescent="0.2">
      <c r="A472" t="s">
        <v>89</v>
      </c>
      <c r="B472" s="1">
        <v>45303</v>
      </c>
      <c r="C472" t="s">
        <v>13</v>
      </c>
      <c r="D472">
        <v>3</v>
      </c>
      <c r="E472" s="1">
        <v>45331</v>
      </c>
      <c r="F472" t="s">
        <v>129</v>
      </c>
      <c r="G472">
        <v>50</v>
      </c>
      <c r="H472">
        <v>25</v>
      </c>
      <c r="I472">
        <v>143</v>
      </c>
      <c r="J472">
        <v>50</v>
      </c>
      <c r="K472">
        <v>1.5</v>
      </c>
      <c r="L472" s="1">
        <v>45356</v>
      </c>
      <c r="M472">
        <f t="shared" si="14"/>
        <v>93</v>
      </c>
      <c r="N472">
        <f t="shared" si="15"/>
        <v>66.5</v>
      </c>
    </row>
    <row r="473" spans="1:14" x14ac:dyDescent="0.2">
      <c r="A473" t="s">
        <v>62</v>
      </c>
      <c r="B473" s="1">
        <v>45338</v>
      </c>
      <c r="C473" t="s">
        <v>26</v>
      </c>
      <c r="D473">
        <v>2</v>
      </c>
      <c r="E473" s="1">
        <v>45373</v>
      </c>
      <c r="F473" t="s">
        <v>130</v>
      </c>
      <c r="G473">
        <v>200</v>
      </c>
      <c r="H473">
        <v>0</v>
      </c>
      <c r="I473">
        <v>919</v>
      </c>
      <c r="J473">
        <v>861</v>
      </c>
      <c r="K473">
        <v>6</v>
      </c>
      <c r="L473" s="1">
        <v>45386</v>
      </c>
      <c r="M473">
        <f t="shared" si="14"/>
        <v>58</v>
      </c>
      <c r="N473">
        <f t="shared" si="15"/>
        <v>52</v>
      </c>
    </row>
    <row r="474" spans="1:14" x14ac:dyDescent="0.2">
      <c r="A474" t="s">
        <v>59</v>
      </c>
      <c r="B474" s="1">
        <v>45435</v>
      </c>
      <c r="C474" t="s">
        <v>26</v>
      </c>
      <c r="D474">
        <v>1</v>
      </c>
      <c r="E474" s="1">
        <v>45525</v>
      </c>
      <c r="F474" t="s">
        <v>129</v>
      </c>
      <c r="G474">
        <v>200</v>
      </c>
      <c r="H474">
        <v>40</v>
      </c>
      <c r="I474">
        <v>744</v>
      </c>
      <c r="J474">
        <v>744</v>
      </c>
      <c r="K474">
        <v>6</v>
      </c>
      <c r="L474" s="1">
        <v>45530</v>
      </c>
      <c r="M474">
        <f t="shared" si="14"/>
        <v>0</v>
      </c>
      <c r="N474">
        <f t="shared" si="15"/>
        <v>-46</v>
      </c>
    </row>
    <row r="475" spans="1:14" x14ac:dyDescent="0.2">
      <c r="A475" t="s">
        <v>76</v>
      </c>
      <c r="B475" s="1">
        <v>45412</v>
      </c>
      <c r="C475" t="s">
        <v>13</v>
      </c>
      <c r="D475">
        <v>1</v>
      </c>
      <c r="E475" s="1">
        <v>45414</v>
      </c>
      <c r="F475" t="s">
        <v>130</v>
      </c>
      <c r="G475">
        <v>20</v>
      </c>
      <c r="H475">
        <v>10</v>
      </c>
      <c r="I475">
        <v>999</v>
      </c>
      <c r="J475">
        <v>174</v>
      </c>
      <c r="K475">
        <v>0.6</v>
      </c>
      <c r="L475" s="1">
        <v>45425</v>
      </c>
      <c r="M475">
        <f t="shared" si="14"/>
        <v>825</v>
      </c>
      <c r="N475">
        <f t="shared" si="15"/>
        <v>814.4</v>
      </c>
    </row>
    <row r="476" spans="1:14" x14ac:dyDescent="0.2">
      <c r="A476" t="s">
        <v>117</v>
      </c>
      <c r="B476" s="1">
        <v>45376</v>
      </c>
      <c r="C476" t="s">
        <v>13</v>
      </c>
      <c r="D476">
        <v>2</v>
      </c>
      <c r="E476" s="1">
        <v>45493</v>
      </c>
      <c r="F476" t="s">
        <v>129</v>
      </c>
      <c r="G476">
        <v>200</v>
      </c>
      <c r="H476">
        <v>40</v>
      </c>
      <c r="I476">
        <v>266</v>
      </c>
      <c r="J476">
        <v>179</v>
      </c>
      <c r="K476">
        <v>6</v>
      </c>
      <c r="L476" s="1">
        <v>45510</v>
      </c>
      <c r="M476">
        <f t="shared" si="14"/>
        <v>87</v>
      </c>
      <c r="N476">
        <f t="shared" si="15"/>
        <v>41</v>
      </c>
    </row>
    <row r="477" spans="1:14" x14ac:dyDescent="0.2">
      <c r="A477" t="s">
        <v>81</v>
      </c>
      <c r="B477" s="1">
        <v>45438</v>
      </c>
      <c r="C477" t="s">
        <v>22</v>
      </c>
      <c r="D477">
        <v>1</v>
      </c>
      <c r="E477" s="1">
        <v>45459</v>
      </c>
      <c r="F477" t="s">
        <v>130</v>
      </c>
      <c r="G477">
        <v>0</v>
      </c>
      <c r="H477">
        <v>0</v>
      </c>
      <c r="I477">
        <v>878</v>
      </c>
      <c r="J477">
        <v>124</v>
      </c>
      <c r="K477">
        <v>0</v>
      </c>
      <c r="L477" s="1">
        <v>45489</v>
      </c>
      <c r="M477">
        <f t="shared" si="14"/>
        <v>754</v>
      </c>
      <c r="N477">
        <f t="shared" si="15"/>
        <v>754</v>
      </c>
    </row>
    <row r="478" spans="1:14" x14ac:dyDescent="0.2">
      <c r="A478" t="s">
        <v>50</v>
      </c>
      <c r="B478" s="1">
        <v>45392</v>
      </c>
      <c r="C478" t="s">
        <v>13</v>
      </c>
      <c r="D478">
        <v>1</v>
      </c>
      <c r="E478" s="1">
        <v>45402</v>
      </c>
      <c r="F478" t="s">
        <v>131</v>
      </c>
      <c r="G478">
        <v>50</v>
      </c>
      <c r="H478">
        <v>25</v>
      </c>
      <c r="I478">
        <v>788</v>
      </c>
      <c r="J478">
        <v>620</v>
      </c>
      <c r="K478">
        <v>1.5</v>
      </c>
      <c r="L478" s="1">
        <v>45403</v>
      </c>
      <c r="M478">
        <f t="shared" si="14"/>
        <v>168</v>
      </c>
      <c r="N478">
        <f t="shared" si="15"/>
        <v>141.5</v>
      </c>
    </row>
    <row r="479" spans="1:14" x14ac:dyDescent="0.2">
      <c r="A479" t="s">
        <v>41</v>
      </c>
      <c r="B479" s="1">
        <v>45419</v>
      </c>
      <c r="C479" t="s">
        <v>26</v>
      </c>
      <c r="D479">
        <v>1</v>
      </c>
      <c r="E479" s="1">
        <v>45462</v>
      </c>
      <c r="F479" t="s">
        <v>130</v>
      </c>
      <c r="G479">
        <v>20</v>
      </c>
      <c r="H479">
        <v>4</v>
      </c>
      <c r="I479">
        <v>147</v>
      </c>
      <c r="J479">
        <v>74</v>
      </c>
      <c r="K479">
        <v>0.6</v>
      </c>
      <c r="L479" s="1">
        <v>45471</v>
      </c>
      <c r="M479">
        <f t="shared" si="14"/>
        <v>73</v>
      </c>
      <c r="N479">
        <f t="shared" si="15"/>
        <v>68.400000000000006</v>
      </c>
    </row>
    <row r="480" spans="1:14" x14ac:dyDescent="0.2">
      <c r="A480" t="s">
        <v>55</v>
      </c>
      <c r="B480" s="1">
        <v>45319</v>
      </c>
      <c r="C480" t="s">
        <v>22</v>
      </c>
      <c r="D480">
        <v>3</v>
      </c>
      <c r="E480" s="1">
        <v>45332</v>
      </c>
      <c r="F480" t="s">
        <v>131</v>
      </c>
      <c r="G480">
        <v>200</v>
      </c>
      <c r="H480">
        <v>0</v>
      </c>
      <c r="I480">
        <v>276</v>
      </c>
      <c r="J480">
        <v>129</v>
      </c>
      <c r="K480">
        <v>6</v>
      </c>
      <c r="L480" s="1">
        <v>45340</v>
      </c>
      <c r="M480">
        <f t="shared" si="14"/>
        <v>147</v>
      </c>
      <c r="N480">
        <f t="shared" si="15"/>
        <v>141</v>
      </c>
    </row>
    <row r="481" spans="1:14" x14ac:dyDescent="0.2">
      <c r="A481" t="s">
        <v>72</v>
      </c>
      <c r="B481" s="1">
        <v>45388</v>
      </c>
      <c r="C481" t="s">
        <v>16</v>
      </c>
      <c r="D481">
        <v>3</v>
      </c>
      <c r="E481" s="1">
        <v>45500</v>
      </c>
      <c r="F481" t="s">
        <v>130</v>
      </c>
      <c r="G481">
        <v>100</v>
      </c>
      <c r="H481">
        <v>50</v>
      </c>
      <c r="I481">
        <v>300</v>
      </c>
      <c r="J481">
        <v>67</v>
      </c>
      <c r="K481">
        <v>3</v>
      </c>
      <c r="L481" s="1">
        <v>45519</v>
      </c>
      <c r="M481">
        <f t="shared" si="14"/>
        <v>233</v>
      </c>
      <c r="N481">
        <f t="shared" si="15"/>
        <v>180</v>
      </c>
    </row>
    <row r="482" spans="1:14" x14ac:dyDescent="0.2">
      <c r="A482" t="s">
        <v>101</v>
      </c>
      <c r="B482" s="1">
        <v>45335</v>
      </c>
      <c r="C482" t="s">
        <v>19</v>
      </c>
      <c r="D482">
        <v>3</v>
      </c>
      <c r="E482" s="1">
        <v>45512</v>
      </c>
      <c r="F482" t="s">
        <v>130</v>
      </c>
      <c r="G482">
        <v>20</v>
      </c>
      <c r="H482">
        <v>4</v>
      </c>
      <c r="I482">
        <v>91</v>
      </c>
      <c r="J482">
        <v>56</v>
      </c>
      <c r="K482">
        <v>0.6</v>
      </c>
      <c r="L482" s="1">
        <v>45527</v>
      </c>
      <c r="M482">
        <f t="shared" si="14"/>
        <v>35</v>
      </c>
      <c r="N482">
        <f t="shared" si="15"/>
        <v>30.4</v>
      </c>
    </row>
    <row r="483" spans="1:14" x14ac:dyDescent="0.2">
      <c r="A483" t="s">
        <v>98</v>
      </c>
      <c r="B483" s="1">
        <v>45462</v>
      </c>
      <c r="C483" t="s">
        <v>16</v>
      </c>
      <c r="D483">
        <v>2</v>
      </c>
      <c r="E483" s="1">
        <v>45484</v>
      </c>
      <c r="F483" t="s">
        <v>130</v>
      </c>
      <c r="G483">
        <v>20</v>
      </c>
      <c r="H483">
        <v>0</v>
      </c>
      <c r="I483">
        <v>377</v>
      </c>
      <c r="J483">
        <v>148</v>
      </c>
      <c r="K483">
        <v>0.6</v>
      </c>
      <c r="L483" s="1">
        <v>45505</v>
      </c>
      <c r="M483">
        <f t="shared" si="14"/>
        <v>229</v>
      </c>
      <c r="N483">
        <f t="shared" si="15"/>
        <v>228.4</v>
      </c>
    </row>
    <row r="484" spans="1:14" x14ac:dyDescent="0.2">
      <c r="A484" t="s">
        <v>21</v>
      </c>
      <c r="B484" s="1">
        <v>45347</v>
      </c>
      <c r="C484" t="s">
        <v>22</v>
      </c>
      <c r="D484">
        <v>1</v>
      </c>
      <c r="E484" s="1">
        <v>45395</v>
      </c>
      <c r="F484" t="s">
        <v>129</v>
      </c>
      <c r="G484">
        <v>100</v>
      </c>
      <c r="H484">
        <v>50</v>
      </c>
      <c r="I484">
        <v>484</v>
      </c>
      <c r="J484">
        <v>272</v>
      </c>
      <c r="K484">
        <v>3</v>
      </c>
      <c r="L484" s="1">
        <v>45418</v>
      </c>
      <c r="M484">
        <f t="shared" si="14"/>
        <v>212</v>
      </c>
      <c r="N484">
        <f t="shared" si="15"/>
        <v>159</v>
      </c>
    </row>
    <row r="485" spans="1:14" x14ac:dyDescent="0.2">
      <c r="A485" t="s">
        <v>46</v>
      </c>
      <c r="B485" s="1">
        <v>45367</v>
      </c>
      <c r="C485" t="s">
        <v>26</v>
      </c>
      <c r="D485">
        <v>3</v>
      </c>
      <c r="E485" s="1">
        <v>45451</v>
      </c>
      <c r="F485" t="s">
        <v>128</v>
      </c>
      <c r="G485">
        <v>100</v>
      </c>
      <c r="H485">
        <v>0</v>
      </c>
      <c r="I485">
        <v>360</v>
      </c>
      <c r="J485">
        <v>113</v>
      </c>
      <c r="K485">
        <v>3</v>
      </c>
      <c r="L485" s="1">
        <v>45479</v>
      </c>
      <c r="M485">
        <f t="shared" si="14"/>
        <v>247</v>
      </c>
      <c r="N485">
        <f t="shared" si="15"/>
        <v>244</v>
      </c>
    </row>
    <row r="486" spans="1:14" x14ac:dyDescent="0.2">
      <c r="A486" t="s">
        <v>96</v>
      </c>
      <c r="B486" s="1">
        <v>45389</v>
      </c>
      <c r="C486" t="s">
        <v>13</v>
      </c>
      <c r="D486">
        <v>3</v>
      </c>
      <c r="E486" s="1">
        <v>45514</v>
      </c>
      <c r="F486" t="s">
        <v>130</v>
      </c>
      <c r="G486">
        <v>500</v>
      </c>
      <c r="H486">
        <v>100</v>
      </c>
      <c r="I486">
        <v>140</v>
      </c>
      <c r="J486">
        <v>130</v>
      </c>
      <c r="K486">
        <v>15</v>
      </c>
      <c r="L486" s="1">
        <v>45539</v>
      </c>
      <c r="M486">
        <f t="shared" si="14"/>
        <v>10</v>
      </c>
      <c r="N486">
        <f t="shared" si="15"/>
        <v>-105</v>
      </c>
    </row>
    <row r="487" spans="1:14" x14ac:dyDescent="0.2">
      <c r="A487" t="s">
        <v>71</v>
      </c>
      <c r="B487" s="1">
        <v>45378</v>
      </c>
      <c r="C487" t="s">
        <v>22</v>
      </c>
      <c r="D487">
        <v>3</v>
      </c>
      <c r="E487" s="1">
        <v>45484</v>
      </c>
      <c r="F487" t="s">
        <v>129</v>
      </c>
      <c r="G487">
        <v>100</v>
      </c>
      <c r="H487">
        <v>50</v>
      </c>
      <c r="I487">
        <v>288</v>
      </c>
      <c r="J487">
        <v>240</v>
      </c>
      <c r="K487">
        <v>3</v>
      </c>
      <c r="L487" s="1">
        <v>45508</v>
      </c>
      <c r="M487">
        <f t="shared" si="14"/>
        <v>48</v>
      </c>
      <c r="N487">
        <f t="shared" si="15"/>
        <v>-5</v>
      </c>
    </row>
    <row r="488" spans="1:14" x14ac:dyDescent="0.2">
      <c r="A488" t="s">
        <v>38</v>
      </c>
      <c r="B488" s="1">
        <v>45383</v>
      </c>
      <c r="C488" t="s">
        <v>26</v>
      </c>
      <c r="D488">
        <v>1</v>
      </c>
      <c r="E488" s="1">
        <v>45505</v>
      </c>
      <c r="F488" t="s">
        <v>130</v>
      </c>
      <c r="G488">
        <v>0</v>
      </c>
      <c r="H488">
        <v>0</v>
      </c>
      <c r="I488">
        <v>730</v>
      </c>
      <c r="J488">
        <v>714</v>
      </c>
      <c r="K488">
        <v>0</v>
      </c>
      <c r="L488" s="1">
        <v>45517</v>
      </c>
      <c r="M488">
        <f t="shared" si="14"/>
        <v>16</v>
      </c>
      <c r="N488">
        <f t="shared" si="15"/>
        <v>16</v>
      </c>
    </row>
    <row r="489" spans="1:14" x14ac:dyDescent="0.2">
      <c r="A489" t="s">
        <v>85</v>
      </c>
      <c r="B489" s="1">
        <v>45343</v>
      </c>
      <c r="C489" t="s">
        <v>13</v>
      </c>
      <c r="D489">
        <v>2</v>
      </c>
      <c r="E489" s="1">
        <v>45433</v>
      </c>
      <c r="F489" t="s">
        <v>128</v>
      </c>
      <c r="G489">
        <v>50</v>
      </c>
      <c r="H489">
        <v>10</v>
      </c>
      <c r="I489">
        <v>534</v>
      </c>
      <c r="J489">
        <v>402</v>
      </c>
      <c r="K489">
        <v>1.5</v>
      </c>
      <c r="L489" s="1">
        <v>45452</v>
      </c>
      <c r="M489">
        <f t="shared" si="14"/>
        <v>132</v>
      </c>
      <c r="N489">
        <f t="shared" si="15"/>
        <v>120.5</v>
      </c>
    </row>
    <row r="490" spans="1:14" x14ac:dyDescent="0.2">
      <c r="A490" t="s">
        <v>118</v>
      </c>
      <c r="B490" s="1">
        <v>45430</v>
      </c>
      <c r="C490" t="s">
        <v>26</v>
      </c>
      <c r="D490">
        <v>2</v>
      </c>
      <c r="E490" s="1">
        <v>45560</v>
      </c>
      <c r="F490" t="s">
        <v>131</v>
      </c>
      <c r="G490">
        <v>0</v>
      </c>
      <c r="H490">
        <v>0</v>
      </c>
      <c r="I490">
        <v>482</v>
      </c>
      <c r="J490">
        <v>405</v>
      </c>
      <c r="K490">
        <v>0</v>
      </c>
      <c r="L490" s="1">
        <v>45583</v>
      </c>
      <c r="M490">
        <f t="shared" si="14"/>
        <v>77</v>
      </c>
      <c r="N490">
        <f t="shared" si="15"/>
        <v>77</v>
      </c>
    </row>
    <row r="491" spans="1:14" x14ac:dyDescent="0.2">
      <c r="A491" t="s">
        <v>88</v>
      </c>
      <c r="B491" s="1">
        <v>45312</v>
      </c>
      <c r="C491" t="s">
        <v>26</v>
      </c>
      <c r="D491">
        <v>3</v>
      </c>
      <c r="E491" s="1">
        <v>45452</v>
      </c>
      <c r="F491" t="s">
        <v>128</v>
      </c>
      <c r="G491">
        <v>100</v>
      </c>
      <c r="H491">
        <v>0</v>
      </c>
      <c r="I491">
        <v>718</v>
      </c>
      <c r="J491">
        <v>196</v>
      </c>
      <c r="K491">
        <v>3</v>
      </c>
      <c r="L491" s="1">
        <v>45474</v>
      </c>
      <c r="M491">
        <f t="shared" si="14"/>
        <v>522</v>
      </c>
      <c r="N491">
        <f t="shared" si="15"/>
        <v>519</v>
      </c>
    </row>
    <row r="492" spans="1:14" x14ac:dyDescent="0.2">
      <c r="A492" t="s">
        <v>39</v>
      </c>
      <c r="B492" s="1">
        <v>45445</v>
      </c>
      <c r="C492" t="s">
        <v>19</v>
      </c>
      <c r="D492">
        <v>1</v>
      </c>
      <c r="E492" s="1">
        <v>45571</v>
      </c>
      <c r="F492" t="s">
        <v>130</v>
      </c>
      <c r="G492">
        <v>20</v>
      </c>
      <c r="H492">
        <v>0</v>
      </c>
      <c r="I492">
        <v>545</v>
      </c>
      <c r="J492">
        <v>232</v>
      </c>
      <c r="K492">
        <v>0.6</v>
      </c>
      <c r="L492" s="1">
        <v>45572</v>
      </c>
      <c r="M492">
        <f t="shared" si="14"/>
        <v>313</v>
      </c>
      <c r="N492">
        <f t="shared" si="15"/>
        <v>312.39999999999998</v>
      </c>
    </row>
    <row r="493" spans="1:14" x14ac:dyDescent="0.2">
      <c r="A493" t="s">
        <v>51</v>
      </c>
      <c r="B493" s="1">
        <v>45351</v>
      </c>
      <c r="C493" t="s">
        <v>19</v>
      </c>
      <c r="D493">
        <v>3</v>
      </c>
      <c r="E493" s="1">
        <v>45488</v>
      </c>
      <c r="F493" t="s">
        <v>130</v>
      </c>
      <c r="G493">
        <v>200</v>
      </c>
      <c r="H493">
        <v>0</v>
      </c>
      <c r="I493">
        <v>999</v>
      </c>
      <c r="J493">
        <v>20</v>
      </c>
      <c r="K493">
        <v>6</v>
      </c>
      <c r="L493" s="1">
        <v>45488</v>
      </c>
      <c r="M493">
        <f t="shared" si="14"/>
        <v>979</v>
      </c>
      <c r="N493">
        <f t="shared" si="15"/>
        <v>973</v>
      </c>
    </row>
    <row r="494" spans="1:14" x14ac:dyDescent="0.2">
      <c r="A494" t="s">
        <v>111</v>
      </c>
      <c r="B494" s="1">
        <v>45303</v>
      </c>
      <c r="C494" t="s">
        <v>13</v>
      </c>
      <c r="D494">
        <v>2</v>
      </c>
      <c r="E494" s="1">
        <v>45325</v>
      </c>
      <c r="F494" t="s">
        <v>131</v>
      </c>
      <c r="G494">
        <v>50</v>
      </c>
      <c r="H494">
        <v>10</v>
      </c>
      <c r="I494">
        <v>101</v>
      </c>
      <c r="J494">
        <v>67</v>
      </c>
      <c r="K494">
        <v>1.5</v>
      </c>
      <c r="L494" s="1">
        <v>45349</v>
      </c>
      <c r="M494">
        <f t="shared" si="14"/>
        <v>34</v>
      </c>
      <c r="N494">
        <f t="shared" si="15"/>
        <v>22.5</v>
      </c>
    </row>
    <row r="495" spans="1:14" x14ac:dyDescent="0.2">
      <c r="A495" t="s">
        <v>68</v>
      </c>
      <c r="B495" s="1">
        <v>45329</v>
      </c>
      <c r="C495" t="s">
        <v>22</v>
      </c>
      <c r="D495">
        <v>3</v>
      </c>
      <c r="E495" s="1">
        <v>45439</v>
      </c>
      <c r="F495" t="s">
        <v>129</v>
      </c>
      <c r="G495">
        <v>200</v>
      </c>
      <c r="H495">
        <v>100</v>
      </c>
      <c r="I495">
        <v>836</v>
      </c>
      <c r="J495">
        <v>642</v>
      </c>
      <c r="K495">
        <v>6</v>
      </c>
      <c r="L495" s="1">
        <v>45463</v>
      </c>
      <c r="M495">
        <f t="shared" si="14"/>
        <v>194</v>
      </c>
      <c r="N495">
        <f t="shared" si="15"/>
        <v>88</v>
      </c>
    </row>
    <row r="496" spans="1:14" x14ac:dyDescent="0.2">
      <c r="A496" t="s">
        <v>75</v>
      </c>
      <c r="B496" s="1">
        <v>45436</v>
      </c>
      <c r="C496" t="s">
        <v>26</v>
      </c>
      <c r="D496">
        <v>1</v>
      </c>
      <c r="E496" s="1">
        <v>45565</v>
      </c>
      <c r="F496" t="s">
        <v>128</v>
      </c>
      <c r="G496">
        <v>20</v>
      </c>
      <c r="H496">
        <v>4</v>
      </c>
      <c r="I496">
        <v>517</v>
      </c>
      <c r="J496">
        <v>296</v>
      </c>
      <c r="K496">
        <v>0.6</v>
      </c>
      <c r="L496" s="1">
        <v>45579</v>
      </c>
      <c r="M496">
        <f t="shared" si="14"/>
        <v>221</v>
      </c>
      <c r="N496">
        <f t="shared" si="15"/>
        <v>216.4</v>
      </c>
    </row>
    <row r="497" spans="1:14" x14ac:dyDescent="0.2">
      <c r="A497" t="s">
        <v>18</v>
      </c>
      <c r="B497" s="1">
        <v>45321</v>
      </c>
      <c r="C497" t="s">
        <v>22</v>
      </c>
      <c r="D497">
        <v>2</v>
      </c>
      <c r="E497" s="1">
        <v>45343</v>
      </c>
      <c r="F497" t="s">
        <v>131</v>
      </c>
      <c r="G497">
        <v>100</v>
      </c>
      <c r="H497">
        <v>50</v>
      </c>
      <c r="I497">
        <v>361</v>
      </c>
      <c r="J497">
        <v>24</v>
      </c>
      <c r="K497">
        <v>3</v>
      </c>
      <c r="L497" s="1">
        <v>45372</v>
      </c>
      <c r="M497">
        <f t="shared" si="14"/>
        <v>337</v>
      </c>
      <c r="N497">
        <f t="shared" si="15"/>
        <v>284</v>
      </c>
    </row>
    <row r="498" spans="1:14" x14ac:dyDescent="0.2">
      <c r="A498" t="s">
        <v>120</v>
      </c>
      <c r="B498" s="1">
        <v>45365</v>
      </c>
      <c r="C498" t="s">
        <v>22</v>
      </c>
      <c r="D498">
        <v>1</v>
      </c>
      <c r="E498" s="1">
        <v>45471</v>
      </c>
      <c r="F498" t="s">
        <v>129</v>
      </c>
      <c r="G498">
        <v>500</v>
      </c>
      <c r="H498">
        <v>0</v>
      </c>
      <c r="I498">
        <v>664</v>
      </c>
      <c r="J498">
        <v>26</v>
      </c>
      <c r="K498">
        <v>15</v>
      </c>
      <c r="L498" s="1">
        <v>45482</v>
      </c>
      <c r="M498">
        <f t="shared" si="14"/>
        <v>638</v>
      </c>
      <c r="N498">
        <f t="shared" si="15"/>
        <v>623</v>
      </c>
    </row>
    <row r="499" spans="1:14" x14ac:dyDescent="0.2">
      <c r="A499" t="s">
        <v>90</v>
      </c>
      <c r="B499" s="1">
        <v>45358</v>
      </c>
      <c r="C499" t="s">
        <v>16</v>
      </c>
      <c r="D499">
        <v>3</v>
      </c>
      <c r="E499" s="1">
        <v>45359</v>
      </c>
      <c r="F499" t="s">
        <v>128</v>
      </c>
      <c r="G499">
        <v>500</v>
      </c>
      <c r="H499">
        <v>250</v>
      </c>
      <c r="I499">
        <v>11</v>
      </c>
      <c r="J499">
        <v>3</v>
      </c>
      <c r="K499">
        <v>15</v>
      </c>
      <c r="L499" s="1">
        <v>45388</v>
      </c>
      <c r="M499">
        <f t="shared" si="14"/>
        <v>8</v>
      </c>
      <c r="N499">
        <f t="shared" si="15"/>
        <v>-257</v>
      </c>
    </row>
    <row r="500" spans="1:14" x14ac:dyDescent="0.2">
      <c r="A500" t="s">
        <v>56</v>
      </c>
      <c r="B500" s="1">
        <v>45446</v>
      </c>
      <c r="C500" t="s">
        <v>13</v>
      </c>
      <c r="D500">
        <v>1</v>
      </c>
      <c r="E500" s="1">
        <v>45487</v>
      </c>
      <c r="F500" t="s">
        <v>128</v>
      </c>
      <c r="G500">
        <v>500</v>
      </c>
      <c r="H500">
        <v>100</v>
      </c>
      <c r="I500">
        <v>11</v>
      </c>
      <c r="J500">
        <v>6</v>
      </c>
      <c r="K500">
        <v>15</v>
      </c>
      <c r="L500" s="1">
        <v>45492</v>
      </c>
      <c r="M500">
        <f t="shared" si="14"/>
        <v>5</v>
      </c>
      <c r="N500">
        <f t="shared" si="15"/>
        <v>-110</v>
      </c>
    </row>
    <row r="501" spans="1:14" x14ac:dyDescent="0.2">
      <c r="A501" t="s">
        <v>88</v>
      </c>
      <c r="B501" s="1">
        <v>45456</v>
      </c>
      <c r="C501" t="s">
        <v>13</v>
      </c>
      <c r="D501">
        <v>2</v>
      </c>
      <c r="E501" s="1">
        <v>45543</v>
      </c>
      <c r="F501" t="s">
        <v>129</v>
      </c>
      <c r="G501">
        <v>200</v>
      </c>
      <c r="H501">
        <v>100</v>
      </c>
      <c r="I501">
        <v>858</v>
      </c>
      <c r="J501">
        <v>810</v>
      </c>
      <c r="K501">
        <v>6</v>
      </c>
      <c r="L501" s="1">
        <v>45558</v>
      </c>
      <c r="M501">
        <f t="shared" si="14"/>
        <v>48</v>
      </c>
      <c r="N501">
        <f t="shared" si="15"/>
        <v>-58</v>
      </c>
    </row>
  </sheetData>
  <autoFilter ref="A1:N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FF54B7-94DF-D244-BACE-793CBA25A962}">
  <dimension ref="A3:B9"/>
  <sheetViews>
    <sheetView workbookViewId="0">
      <selection activeCell="A3" sqref="A3"/>
    </sheetView>
  </sheetViews>
  <sheetFormatPr baseColWidth="10" defaultRowHeight="15" x14ac:dyDescent="0.2"/>
  <cols>
    <col min="1" max="1" width="12.1640625" bestFit="1" customWidth="1"/>
    <col min="2" max="2" width="9.83203125" bestFit="1" customWidth="1"/>
  </cols>
  <sheetData>
    <row r="3" spans="1:2" x14ac:dyDescent="0.2">
      <c r="A3" s="2" t="s">
        <v>123</v>
      </c>
      <c r="B3" t="s">
        <v>125</v>
      </c>
    </row>
    <row r="4" spans="1:2" x14ac:dyDescent="0.2">
      <c r="A4" s="3" t="s">
        <v>22</v>
      </c>
      <c r="B4">
        <v>28517</v>
      </c>
    </row>
    <row r="5" spans="1:2" x14ac:dyDescent="0.2">
      <c r="A5" s="3" t="s">
        <v>26</v>
      </c>
      <c r="B5">
        <v>28258</v>
      </c>
    </row>
    <row r="6" spans="1:2" x14ac:dyDescent="0.2">
      <c r="A6" s="3" t="s">
        <v>16</v>
      </c>
      <c r="B6">
        <v>26987</v>
      </c>
    </row>
    <row r="7" spans="1:2" x14ac:dyDescent="0.2">
      <c r="A7" s="3" t="s">
        <v>13</v>
      </c>
      <c r="B7">
        <v>30926</v>
      </c>
    </row>
    <row r="8" spans="1:2" x14ac:dyDescent="0.2">
      <c r="A8" s="3" t="s">
        <v>19</v>
      </c>
      <c r="B8">
        <v>23401</v>
      </c>
    </row>
    <row r="9" spans="1:2" x14ac:dyDescent="0.2">
      <c r="A9" s="3" t="s">
        <v>124</v>
      </c>
      <c r="B9">
        <v>138089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244F7-1542-8C4F-AECC-16E1E8C9F156}">
  <dimension ref="A3:F10"/>
  <sheetViews>
    <sheetView topLeftCell="A3" zoomScaleNormal="100" workbookViewId="0">
      <selection activeCell="T17" sqref="T17"/>
    </sheetView>
  </sheetViews>
  <sheetFormatPr baseColWidth="10" defaultRowHeight="15" x14ac:dyDescent="0.2"/>
  <cols>
    <col min="1" max="1" width="12.1640625" bestFit="1" customWidth="1"/>
    <col min="2" max="2" width="14.83203125" bestFit="1" customWidth="1"/>
    <col min="3" max="3" width="9.6640625" bestFit="1" customWidth="1"/>
    <col min="4" max="4" width="8" bestFit="1" customWidth="1"/>
    <col min="5" max="5" width="6.1640625" bestFit="1" customWidth="1"/>
    <col min="6" max="6" width="10" bestFit="1" customWidth="1"/>
    <col min="7" max="102" width="6.1640625" bestFit="1" customWidth="1"/>
    <col min="103" max="103" width="10" bestFit="1" customWidth="1"/>
  </cols>
  <sheetData>
    <row r="3" spans="1:6" x14ac:dyDescent="0.2">
      <c r="A3" s="2" t="s">
        <v>125</v>
      </c>
      <c r="B3" s="2" t="s">
        <v>127</v>
      </c>
    </row>
    <row r="4" spans="1:6" x14ac:dyDescent="0.2">
      <c r="A4" s="2" t="s">
        <v>123</v>
      </c>
      <c r="B4" t="s">
        <v>28</v>
      </c>
      <c r="C4" t="s">
        <v>17</v>
      </c>
      <c r="D4" t="s">
        <v>14</v>
      </c>
      <c r="E4" t="s">
        <v>20</v>
      </c>
      <c r="F4" t="s">
        <v>124</v>
      </c>
    </row>
    <row r="5" spans="1:6" x14ac:dyDescent="0.2">
      <c r="A5" s="3" t="s">
        <v>22</v>
      </c>
      <c r="B5">
        <v>5247</v>
      </c>
      <c r="C5">
        <v>8055</v>
      </c>
      <c r="D5">
        <v>6558</v>
      </c>
      <c r="E5">
        <v>8657</v>
      </c>
      <c r="F5">
        <v>28517</v>
      </c>
    </row>
    <row r="6" spans="1:6" x14ac:dyDescent="0.2">
      <c r="A6" s="3" t="s">
        <v>26</v>
      </c>
      <c r="B6">
        <v>10363</v>
      </c>
      <c r="C6">
        <v>5932</v>
      </c>
      <c r="D6">
        <v>6135</v>
      </c>
      <c r="E6">
        <v>5828</v>
      </c>
      <c r="F6">
        <v>28258</v>
      </c>
    </row>
    <row r="7" spans="1:6" x14ac:dyDescent="0.2">
      <c r="A7" s="3" t="s">
        <v>16</v>
      </c>
      <c r="B7">
        <v>6291</v>
      </c>
      <c r="C7">
        <v>7371</v>
      </c>
      <c r="D7">
        <v>6314</v>
      </c>
      <c r="E7">
        <v>7011</v>
      </c>
      <c r="F7">
        <v>26987</v>
      </c>
    </row>
    <row r="8" spans="1:6" x14ac:dyDescent="0.2">
      <c r="A8" s="3" t="s">
        <v>13</v>
      </c>
      <c r="B8">
        <v>7600</v>
      </c>
      <c r="C8">
        <v>6734</v>
      </c>
      <c r="D8">
        <v>7996</v>
      </c>
      <c r="E8">
        <v>8596</v>
      </c>
      <c r="F8">
        <v>30926</v>
      </c>
    </row>
    <row r="9" spans="1:6" x14ac:dyDescent="0.2">
      <c r="A9" s="3" t="s">
        <v>19</v>
      </c>
      <c r="B9">
        <v>4217</v>
      </c>
      <c r="C9">
        <v>7480</v>
      </c>
      <c r="D9">
        <v>5989</v>
      </c>
      <c r="E9">
        <v>5715</v>
      </c>
      <c r="F9">
        <v>23401</v>
      </c>
    </row>
    <row r="10" spans="1:6" x14ac:dyDescent="0.2">
      <c r="A10" s="3" t="s">
        <v>124</v>
      </c>
      <c r="B10">
        <v>33718</v>
      </c>
      <c r="C10">
        <v>35572</v>
      </c>
      <c r="D10">
        <v>32992</v>
      </c>
      <c r="E10">
        <v>35807</v>
      </c>
      <c r="F10">
        <v>138089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Transactions</vt:lpstr>
      <vt:lpstr>Sheet3</vt:lpstr>
      <vt:lpstr>Sheet4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pda1 oai</cp:lastModifiedBy>
  <dcterms:created xsi:type="dcterms:W3CDTF">2026-02-14T04:02:23Z</dcterms:created>
  <dcterms:modified xsi:type="dcterms:W3CDTF">2026-02-16T02:01:55Z</dcterms:modified>
</cp:coreProperties>
</file>